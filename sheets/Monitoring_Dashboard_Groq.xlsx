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s" sheetId="1" r:id="rId5"/>
    <sheet state="visible" name="Dashboard" sheetId="2" r:id="rId6"/>
    <sheet state="visible" name="Test_Cases" sheetId="3" r:id="rId7"/>
  </sheets>
  <definedNames/>
  <calcPr/>
</workbook>
</file>

<file path=xl/sharedStrings.xml><?xml version="1.0" encoding="utf-8"?>
<sst xmlns="http://schemas.openxmlformats.org/spreadsheetml/2006/main" count="362" uniqueCount="193">
  <si>
    <t>timestamp</t>
  </si>
  <si>
    <t>request_id</t>
  </si>
  <si>
    <t>workflow_name</t>
  </si>
  <si>
    <t>status</t>
  </si>
  <si>
    <t>duration_sec</t>
  </si>
  <si>
    <t>node_name</t>
  </si>
  <si>
    <t>error_message</t>
  </si>
  <si>
    <t>input_message</t>
  </si>
  <si>
    <t>client_source</t>
  </si>
  <si>
    <t>2026-05-19T10:45:11.973+03:00</t>
  </si>
  <si>
    <t>C3 Production Ready Groq Chatbot - Main Workflow</t>
  </si>
  <si>
    <t>success</t>
  </si>
  <si>
    <t>HTTP Request - Groq Chat</t>
  </si>
  <si>
    <t>Test the new updated workflow with real duration.</t>
  </si>
  <si>
    <t>new-workflow-success-test</t>
  </si>
  <si>
    <t>2026-05-19T10:47:29.755+03:00</t>
  </si>
  <si>
    <t>failure</t>
  </si>
  <si>
    <t>404 - "{\"error\":{\"message\":\"The model `wrong-model-test` does not exist or you do not have access to it.\",\"type\":\"invalid_request_error\",\"code\":\"model_not_found\"}}\n"</t>
  </si>
  <si>
    <t>Test local failure path with real duration.</t>
  </si>
  <si>
    <t>new-workflow-failure-test</t>
  </si>
  <si>
    <t>2026-05-19T13:26:28.894+03:00</t>
  </si>
  <si>
    <t>Test Telegram detailed failure message.</t>
  </si>
  <si>
    <t>telegram-detailed-error-test</t>
  </si>
  <si>
    <t>2026-05-19T13:38:05.562+03:00</t>
  </si>
  <si>
    <t>Google Sheets - Append Success</t>
  </si>
  <si>
    <t>Sheet with ID 999999 not found</t>
  </si>
  <si>
    <t>error-workflow</t>
  </si>
  <si>
    <t>2026-05-19T13:43:51.275+03:00</t>
  </si>
  <si>
    <t>Unavailable in backup error workflow</t>
  </si>
  <si>
    <t>2026-05-19T13:46:23.817+03:00</t>
  </si>
  <si>
    <t>Normal success test after restoring Google Sheets node.</t>
  </si>
  <si>
    <t>after-backup-restore-test</t>
  </si>
  <si>
    <t>2026-05-19T14:36:22.626+03:00</t>
  </si>
  <si>
    <t>Success case 01: Explain what this workflow does.</t>
  </si>
  <si>
    <t>case-01-success-overview</t>
  </si>
  <si>
    <t>2026-05-19T14:36:26.215+03:00</t>
  </si>
  <si>
    <t>Success case 02: Explain success logging.</t>
  </si>
  <si>
    <t>case-02-success-logging</t>
  </si>
  <si>
    <t>2026-05-19T14:36:29.267+03:00</t>
  </si>
  <si>
    <t>Success case 03: Explain failure logging.</t>
  </si>
  <si>
    <t>case-03-failure-logging</t>
  </si>
  <si>
    <t>2026-05-19T14:36:32.715+03:00</t>
  </si>
  <si>
    <t>Success case 04: Explain retry mechanism.</t>
  </si>
  <si>
    <t>case-04-retry</t>
  </si>
  <si>
    <t>2026-05-19T14:36:36.147+03:00</t>
  </si>
  <si>
    <t>Success case 05: Explain Telegram alerting.</t>
  </si>
  <si>
    <t>case-05-telegram</t>
  </si>
  <si>
    <t>2026-05-19T14:36:39.345+03:00</t>
  </si>
  <si>
    <t>Success case 06: Explain monitoring dashboard.</t>
  </si>
  <si>
    <t>case-06-dashboard</t>
  </si>
  <si>
    <t>2026-05-19T14:36:42.541+03:00</t>
  </si>
  <si>
    <t>Success case 07: What is production readiness?</t>
  </si>
  <si>
    <t>case-07-production-readiness</t>
  </si>
  <si>
    <t>2026-05-19T14:36:45.859+03:00</t>
  </si>
  <si>
    <t>Success case 08: What is an API failure?</t>
  </si>
  <si>
    <t>case-08-api-failure</t>
  </si>
  <si>
    <t>2026-05-19T14:36:48.917+03:00</t>
  </si>
  <si>
    <t>Success case 09: What is a webhook?</t>
  </si>
  <si>
    <t>case-09-webhook</t>
  </si>
  <si>
    <t>2026-05-19T14:36:51.735+03:00</t>
  </si>
  <si>
    <t>Success case 10: Give a short answer about n8n.</t>
  </si>
  <si>
    <t>case-10-n8n</t>
  </si>
  <si>
    <t>2026-05-19T14:36:54.755+03:00</t>
  </si>
  <si>
    <t>Success case 11: Explain Google Sheets logging.</t>
  </si>
  <si>
    <t>case-11-google-sheets</t>
  </si>
  <si>
    <t>2026-05-19T14:36:58.220+03:00</t>
  </si>
  <si>
    <t>Success case 12: Explain runtime duration.</t>
  </si>
  <si>
    <t>case-12-runtime-duration</t>
  </si>
  <si>
    <t>2026-05-19T14:37:01.423+03:00</t>
  </si>
  <si>
    <t>Success case 13: Explain backup error workflow.</t>
  </si>
  <si>
    <t>case-13-backup-error</t>
  </si>
  <si>
    <t>2026-05-19T14:37:04.633+03:00</t>
  </si>
  <si>
    <t>Success case 14: Reply in 2 bullet points.</t>
  </si>
  <si>
    <t>case-14-formatting</t>
  </si>
  <si>
    <t>2026-05-19T14:37:08.989+03:00</t>
  </si>
  <si>
    <t>Success case 15: Confirm the workflow is running end to end.</t>
  </si>
  <si>
    <t>case-15-end-to-end</t>
  </si>
  <si>
    <t>2026-05-19T14:38:29.658+03:00</t>
  </si>
  <si>
    <t>Failure case 16: invalid model configuration test.</t>
  </si>
  <si>
    <t>case-16-local-failure-invalid-model</t>
  </si>
  <si>
    <t>2026-05-19T14:38:34.642+03:00</t>
  </si>
  <si>
    <t>Failure case 17: API provider error handling test.</t>
  </si>
  <si>
    <t>case-17-local-failure-api-provider</t>
  </si>
  <si>
    <t>2026-05-19T14:38:39.053+03:00</t>
  </si>
  <si>
    <t>Failure case 18: retry then failure logging test.</t>
  </si>
  <si>
    <t>case-18-local-failure-retry</t>
  </si>
  <si>
    <t>2026-05-19T14:38:44.597+03:00</t>
  </si>
  <si>
    <t>Failure case 19: Telegram local failure alert test.</t>
  </si>
  <si>
    <t>case-19-local-failure-telegram</t>
  </si>
  <si>
    <t>2026-05-19T14:40:27.306+03:00</t>
  </si>
  <si>
    <t>2026-05-19T14:40:32.155+03:00</t>
  </si>
  <si>
    <t>2026-05-19T14:40:36.618+03:00</t>
  </si>
  <si>
    <t>2026-05-19T14:40:41.970+03:00</t>
  </si>
  <si>
    <t>2026-05-19T14:42:45.493+03:00</t>
  </si>
  <si>
    <t>2026-05-19T14:47:01.085+03:00</t>
  </si>
  <si>
    <t>Final production check after all tests.</t>
  </si>
  <si>
    <t>final-production-check</t>
  </si>
  <si>
    <t>C3 Production Monitoring Dashboard</t>
  </si>
  <si>
    <t>n8n AI Workflow Monitoring • Groq API implementation • Google Sheets logs • Telegram alerts</t>
  </si>
  <si>
    <t>Metric</t>
  </si>
  <si>
    <t>Value</t>
  </si>
  <si>
    <t>Description</t>
  </si>
  <si>
    <t>Status</t>
  </si>
  <si>
    <t>Count</t>
  </si>
  <si>
    <t>Total Runs</t>
  </si>
  <si>
    <t>All logged executions</t>
  </si>
  <si>
    <t>Success</t>
  </si>
  <si>
    <t>Successes</t>
  </si>
  <si>
    <t>Successful AI workflow runs</t>
  </si>
  <si>
    <t>Failure</t>
  </si>
  <si>
    <t>Failures</t>
  </si>
  <si>
    <t>Failed runs captured by monitoring</t>
  </si>
  <si>
    <t>Success Rate</t>
  </si>
  <si>
    <t>Successes divided by total runs</t>
  </si>
  <si>
    <t>Average Runtime Sec</t>
  </si>
  <si>
    <t>Average duration from logged rows</t>
  </si>
  <si>
    <t>Last Failure</t>
  </si>
  <si>
    <t>Most recent failure timestamp</t>
  </si>
  <si>
    <t>Day</t>
  </si>
  <si>
    <t>Total</t>
  </si>
  <si>
    <t>Submission Evidence Checklist</t>
  </si>
  <si>
    <t>Evidence Item</t>
  </si>
  <si>
    <t>Status / Notes</t>
  </si>
  <si>
    <t>Main workflow published</t>
  </si>
  <si>
    <t>Add screenshot after final publish</t>
  </si>
  <si>
    <t>Completed</t>
  </si>
  <si>
    <t>Error workflow published</t>
  </si>
  <si>
    <t>Add screenshot of Error Trigger workflow</t>
  </si>
  <si>
    <t>Telegram alert received</t>
  </si>
  <si>
    <t>Add Telegram screenshot</t>
  </si>
  <si>
    <t>Success rows logged</t>
  </si>
  <si>
    <t>Show executions tab with success rows</t>
  </si>
  <si>
    <t>Failure rows logged</t>
  </si>
  <si>
    <t>Show executions tab with failure rows</t>
  </si>
  <si>
    <t>20-request load test completed</t>
  </si>
  <si>
    <t>Show PowerShell + Dashboard screenshots</t>
  </si>
  <si>
    <t>Completed: 31 logged executions, covering success, local failures, and backup error workflow</t>
  </si>
  <si>
    <t>Dashboard finalized</t>
  </si>
  <si>
    <t>Show KPI cards and chart</t>
  </si>
  <si>
    <t>Case No</t>
  </si>
  <si>
    <t>Type</t>
  </si>
  <si>
    <t>Source</t>
  </si>
  <si>
    <t>Message / Trigger</t>
  </si>
  <si>
    <t>Expected Result</t>
  </si>
  <si>
    <t>Evidence Screenshot Needed</t>
  </si>
  <si>
    <t>case-01-success-normal</t>
  </si>
  <si>
    <t>Hello, explain what this chatbot does.</t>
  </si>
  <si>
    <t>success row</t>
  </si>
  <si>
    <t>Sheet row</t>
  </si>
  <si>
    <t>case-02-success-support</t>
  </si>
  <si>
    <t>University support services question</t>
  </si>
  <si>
    <t>case-03-success-short</t>
  </si>
  <si>
    <t>Short answer request</t>
  </si>
  <si>
    <t>case-04-success-advising</t>
  </si>
  <si>
    <t>Academic advising simple explanation</t>
  </si>
  <si>
    <t>case-05-success-arabic</t>
  </si>
  <si>
    <t>Arabic support question</t>
  </si>
  <si>
    <t>case-06-success-registration</t>
  </si>
  <si>
    <t>Course registration question</t>
  </si>
  <si>
    <t>case-07-success-portal</t>
  </si>
  <si>
    <t>Student portal access issue</t>
  </si>
  <si>
    <t>case-08-success-private-safe</t>
  </si>
  <si>
    <t>Private data safe response</t>
  </si>
  <si>
    <t>success row with safe answer</t>
  </si>
  <si>
    <t>case-09-success-format</t>
  </si>
  <si>
    <t>Three bullet points request</t>
  </si>
  <si>
    <t>case-10-success-numeric</t>
  </si>
  <si>
    <t>Numbers in input</t>
  </si>
  <si>
    <t>case-11-success-special</t>
  </si>
  <si>
    <t>Special characters</t>
  </si>
  <si>
    <t>case-12-success-json-like</t>
  </si>
  <si>
    <t>JSON-like input text</t>
  </si>
  <si>
    <t>case-13-success-monitoring</t>
  </si>
  <si>
    <t>Monitoring workflow explanation</t>
  </si>
  <si>
    <t>case-14-success-safety-refusal</t>
  </si>
  <si>
    <t>Private records request</t>
  </si>
  <si>
    <t>success row with safe refusal</t>
  </si>
  <si>
    <t>case-15-success-logging</t>
  </si>
  <si>
    <t>Success logging question</t>
  </si>
  <si>
    <t>case-16-success-failure-logging</t>
  </si>
  <si>
    <t>Failure logging question</t>
  </si>
  <si>
    <t>case-17-success-retry</t>
  </si>
  <si>
    <t>Retry mechanism question</t>
  </si>
  <si>
    <t>failure-case-01-wrong-groq-url</t>
  </si>
  <si>
    <t>Temporary wrong API URL</t>
  </si>
  <si>
    <t>failure row + Telegram alert</t>
  </si>
  <si>
    <t>Telegram + Sheet</t>
  </si>
  <si>
    <t>failure-case-02-wrong-model</t>
  </si>
  <si>
    <t>Temporary wrong model name</t>
  </si>
  <si>
    <t>failure-case-03-google-sheet-error</t>
  </si>
  <si>
    <t>Temporary wrong sheet/tab ID</t>
  </si>
  <si>
    <t>failure/global error proof</t>
  </si>
  <si>
    <t>n8n + Telegram/Sheet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</si>
</sst>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%"/>
    <numFmt numFmtId="166" formatCode="yyyy-mm-dd"/>
  </numFmts>
  <fonts count="1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8.0"/>
      <color rgb="FFFFFFFF"/>
      <name val="Carlito"/>
    </font>
    <font>
      <i/>
      <sz val="11.0"/>
      <color rgb="FF075985"/>
      <name val="Carlito"/>
    </font>
    <font>
      <b/>
      <sz val="15.0"/>
      <color rgb="FFFFFFFF"/>
      <name val="Carlito"/>
    </font>
    <font>
      <b/>
      <sz val="15.0"/>
      <color rgb="FF111827"/>
      <name val="Carlito"/>
    </font>
    <font>
      <b/>
      <sz val="15.0"/>
      <color rgb="FF0F172A"/>
      <name val="Carlito"/>
    </font>
    <font>
      <sz val="15.0"/>
      <color rgb="FF334155"/>
      <name val="Carlito"/>
    </font>
    <font>
      <b/>
      <sz val="11.0"/>
      <color rgb="FF166534"/>
      <name val="Carlito"/>
    </font>
    <font>
      <b/>
      <sz val="11.0"/>
      <color rgb="FF991B1B"/>
      <name val="Carlito"/>
    </font>
    <font>
      <sz val="15.0"/>
      <color theme="1"/>
      <name val="Carlito"/>
      <scheme val="minor"/>
    </font>
    <font>
      <b/>
      <sz val="14.0"/>
      <color rgb="FF111827"/>
      <name val="Carlito"/>
    </font>
    <font>
      <sz val="11.0"/>
      <color theme="1"/>
      <name val="Carlito"/>
      <scheme val="minor"/>
    </font>
    <font>
      <b/>
      <sz val="11.0"/>
      <color theme="1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102A43"/>
        <bgColor rgb="FF102A43"/>
      </patternFill>
    </fill>
    <fill>
      <patternFill patternType="solid">
        <fgColor rgb="FFE0F2FE"/>
        <bgColor rgb="FFE0F2FE"/>
      </patternFill>
    </fill>
    <fill>
      <patternFill patternType="solid">
        <fgColor rgb="FF0F766E"/>
        <bgColor rgb="FF0F766E"/>
      </patternFill>
    </fill>
    <fill>
      <patternFill patternType="solid">
        <fgColor rgb="FF1D4ED8"/>
        <bgColor rgb="FF1D4ED8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59E0B"/>
        <bgColor rgb="FFF59E0B"/>
      </patternFill>
    </fill>
  </fills>
  <borders count="10">
    <border/>
    <border>
      <right/>
      <bottom/>
    </border>
    <border>
      <left/>
      <right/>
      <bottom/>
    </border>
    <border>
      <left/>
      <bottom/>
    </border>
    <border>
      <right/>
      <top/>
      <bottom/>
    </border>
    <border>
      <left/>
      <right/>
      <top/>
      <bottom/>
    </border>
    <border>
      <left/>
      <top/>
      <bottom/>
    </border>
    <border>
      <right/>
      <top/>
    </border>
    <border>
      <left/>
      <top/>
    </border>
    <border>
      <left/>
      <right/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3" numFmtId="0" xfId="0" applyFont="1"/>
    <xf borderId="0" fillId="2" fontId="4" numFmtId="0" xfId="0" applyAlignment="1" applyFont="1">
      <alignment horizontal="center" vertical="center"/>
    </xf>
    <xf borderId="0" fillId="3" fontId="5" numFmtId="0" xfId="0" applyAlignment="1" applyFill="1" applyFont="1">
      <alignment horizontal="center"/>
    </xf>
    <xf borderId="1" fillId="4" fontId="6" numFmtId="0" xfId="0" applyAlignment="1" applyBorder="1" applyFill="1" applyFont="1">
      <alignment horizontal="center"/>
    </xf>
    <xf borderId="2" fillId="4" fontId="6" numFmtId="0" xfId="0" applyAlignment="1" applyBorder="1" applyFont="1">
      <alignment horizontal="center"/>
    </xf>
    <xf borderId="3" fillId="4" fontId="6" numFmtId="0" xfId="0" applyAlignment="1" applyBorder="1" applyFont="1">
      <alignment horizontal="center"/>
    </xf>
    <xf borderId="0" fillId="5" fontId="1" numFmtId="0" xfId="0" applyAlignment="1" applyFill="1" applyFont="1">
      <alignment horizontal="center"/>
    </xf>
    <xf borderId="4" fillId="6" fontId="7" numFmtId="0" xfId="0" applyBorder="1" applyFill="1" applyFont="1"/>
    <xf borderId="5" fillId="7" fontId="8" numFmtId="0" xfId="0" applyAlignment="1" applyBorder="1" applyFill="1" applyFont="1">
      <alignment horizontal="center"/>
    </xf>
    <xf borderId="6" fillId="6" fontId="9" numFmtId="0" xfId="0" applyAlignment="1" applyBorder="1" applyFont="1">
      <alignment shrinkToFit="0" wrapText="1"/>
    </xf>
    <xf borderId="1" fillId="8" fontId="10" numFmtId="0" xfId="0" applyBorder="1" applyFill="1" applyFont="1"/>
    <xf borderId="3" fillId="6" fontId="2" numFmtId="0" xfId="0" applyBorder="1" applyFont="1"/>
    <xf borderId="7" fillId="9" fontId="11" numFmtId="0" xfId="0" applyBorder="1" applyFill="1" applyFont="1"/>
    <xf borderId="8" fillId="6" fontId="2" numFmtId="0" xfId="0" applyBorder="1" applyFont="1"/>
    <xf borderId="5" fillId="7" fontId="8" numFmtId="165" xfId="0" applyAlignment="1" applyBorder="1" applyFont="1" applyNumberFormat="1">
      <alignment horizontal="center"/>
    </xf>
    <xf borderId="5" fillId="7" fontId="8" numFmtId="164" xfId="0" applyAlignment="1" applyBorder="1" applyFont="1" applyNumberFormat="1">
      <alignment horizontal="center"/>
    </xf>
    <xf borderId="0" fillId="0" fontId="12" numFmtId="0" xfId="0" applyFont="1"/>
    <xf borderId="0" fillId="2" fontId="1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10" fontId="13" numFmtId="0" xfId="0" applyAlignment="1" applyFill="1" applyFont="1">
      <alignment horizontal="center"/>
    </xf>
    <xf borderId="1" fillId="4" fontId="1" numFmtId="0" xfId="0" applyAlignment="1" applyBorder="1" applyFont="1">
      <alignment horizontal="center"/>
    </xf>
    <xf borderId="3" fillId="4" fontId="1" numFmtId="0" xfId="0" applyAlignment="1" applyBorder="1" applyFont="1">
      <alignment horizontal="center"/>
    </xf>
    <xf borderId="0" fillId="0" fontId="14" numFmtId="0" xfId="0" applyFont="1"/>
    <xf borderId="4" fillId="6" fontId="15" numFmtId="0" xfId="0" applyBorder="1" applyFont="1"/>
    <xf borderId="6" fillId="7" fontId="2" numFmtId="0" xfId="0" applyAlignment="1" applyBorder="1" applyFont="1">
      <alignment shrinkToFit="0" wrapText="1"/>
    </xf>
    <xf borderId="0" fillId="0" fontId="14" numFmtId="0" xfId="0" applyAlignment="1" applyFont="1">
      <alignment readingOrder="0"/>
    </xf>
    <xf borderId="7" fillId="6" fontId="15" numFmtId="0" xfId="0" applyBorder="1" applyFont="1"/>
    <xf borderId="8" fillId="7" fontId="2" numFmtId="0" xfId="0" applyAlignment="1" applyBorder="1" applyFont="1">
      <alignment shrinkToFit="0" wrapText="1"/>
    </xf>
    <xf borderId="0" fillId="2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2" fillId="8" fontId="10" numFmtId="0" xfId="0" applyAlignment="1" applyBorder="1" applyFont="1">
      <alignment shrinkToFit="0" wrapText="1"/>
    </xf>
    <xf borderId="5" fillId="8" fontId="10" numFmtId="0" xfId="0" applyAlignment="1" applyBorder="1" applyFont="1">
      <alignment shrinkToFit="0" wrapText="1"/>
    </xf>
    <xf borderId="5" fillId="9" fontId="11" numFmtId="0" xfId="0" applyAlignment="1" applyBorder="1" applyFont="1">
      <alignment shrinkToFit="0" wrapText="1"/>
    </xf>
    <xf borderId="9" fillId="9" fontId="11" numFmtId="0" xfId="0" applyAlignment="1" applyBorder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  <tableStyles count="2">
    <tableStyle count="3" pivot="0" name="executions-style">
      <tableStyleElement dxfId="1" type="headerRow"/>
      <tableStyleElement dxfId="2" type="firstRowStripe"/>
      <tableStyleElement dxfId="3" type="secondRowStripe"/>
    </tableStyle>
    <tableStyle count="3" pivot="0" name="Test_Ca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Success vs Failure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Dashboard!$E$5:$E$6</c:f>
            </c:strRef>
          </c:cat>
          <c:val>
            <c:numRef>
              <c:f>Dashboard!$F$5:$F$6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Success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Dashboard!$A$14</c:f>
            </c:strRef>
          </c:cat>
          <c:val>
            <c:numRef>
              <c:f>Dashboard!$B$14</c:f>
              <c:numCache/>
            </c:numRef>
          </c:val>
        </c:ser>
        <c:ser>
          <c:idx val="1"/>
          <c:order val="1"/>
          <c:tx>
            <c:v>Failure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Dashboard!$A$14</c:f>
            </c:strRef>
          </c:cat>
          <c:val>
            <c:numRef>
              <c:f>Dashboard!$C$14</c:f>
              <c:numCache/>
            </c:numRef>
          </c:val>
        </c:ser>
        <c:axId val="1048233198"/>
        <c:axId val="391836250"/>
      </c:barChart>
      <c:catAx>
        <c:axId val="1048233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836250"/>
      </c:catAx>
      <c:valAx>
        <c:axId val="391836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82331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4086225" cy="2181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342900</xdr:colOff>
      <xdr:row>17</xdr:row>
      <xdr:rowOff>161925</xdr:rowOff>
    </xdr:from>
    <xdr:ext cx="7658100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20" displayName="Table_1" name="Table_1" id="1">
  <tableColumns count="9">
    <tableColumn name="timestamp" id="1"/>
    <tableColumn name="request_id" id="2"/>
    <tableColumn name="workflow_name" id="3"/>
    <tableColumn name="status" id="4"/>
    <tableColumn name="duration_sec" id="5"/>
    <tableColumn name="node_name" id="6"/>
    <tableColumn name="error_message" id="7"/>
    <tableColumn name="input_message" id="8"/>
    <tableColumn name="client_source" id="9"/>
  </tableColumns>
  <tableStyleInfo name="executions-style" showColumnStripes="0" showFirstColumn="1" showLastColumn="1" showRowStripes="1"/>
</table>
</file>

<file path=xl/tables/table2.xml><?xml version="1.0" encoding="utf-8"?>
<table xmlns="http://schemas.openxmlformats.org/spreadsheetml/2006/main" ref="A1:F21" displayName="Table_2" name="Table_2" id="2">
  <tableColumns count="6">
    <tableColumn name="Case No" id="1"/>
    <tableColumn name="Type" id="2"/>
    <tableColumn name="Source" id="3"/>
    <tableColumn name="Message / Trigger" id="4"/>
    <tableColumn name="Expected Result" id="5"/>
    <tableColumn name="Evidence Screenshot Needed" id="6"/>
  </tableColumns>
  <tableStyleInfo name="Test_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2.0"/>
    <col customWidth="1" min="3" max="3" width="34.0"/>
    <col customWidth="1" min="4" max="5" width="14.0"/>
    <col customWidth="1" min="6" max="6" width="24.0"/>
    <col customWidth="1" min="7" max="8" width="42.0"/>
    <col customWidth="1" min="9" max="9" width="24.0"/>
    <col customWidth="1" min="10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54.0</v>
      </c>
      <c r="C2" s="2" t="s">
        <v>10</v>
      </c>
      <c r="D2" s="2" t="s">
        <v>11</v>
      </c>
      <c r="E2" s="3">
        <v>0.317</v>
      </c>
      <c r="F2" s="2" t="s">
        <v>12</v>
      </c>
      <c r="G2" s="4"/>
      <c r="H2" s="2" t="s">
        <v>13</v>
      </c>
      <c r="I2" s="2" t="s">
        <v>14</v>
      </c>
    </row>
    <row r="3">
      <c r="A3" s="2" t="s">
        <v>15</v>
      </c>
      <c r="B3" s="2">
        <v>55.0</v>
      </c>
      <c r="C3" s="2" t="s">
        <v>10</v>
      </c>
      <c r="D3" s="2" t="s">
        <v>16</v>
      </c>
      <c r="E3" s="3">
        <v>2.219</v>
      </c>
      <c r="F3" s="2" t="s">
        <v>12</v>
      </c>
      <c r="G3" s="2" t="s">
        <v>17</v>
      </c>
      <c r="H3" s="2" t="s">
        <v>18</v>
      </c>
      <c r="I3" s="2" t="s">
        <v>19</v>
      </c>
    </row>
    <row r="4">
      <c r="A4" s="2" t="s">
        <v>20</v>
      </c>
      <c r="B4" s="2">
        <v>56.0</v>
      </c>
      <c r="C4" s="2" t="s">
        <v>10</v>
      </c>
      <c r="D4" s="2" t="s">
        <v>16</v>
      </c>
      <c r="E4" s="3">
        <v>2.211</v>
      </c>
      <c r="F4" s="2" t="s">
        <v>12</v>
      </c>
      <c r="G4" s="2" t="s">
        <v>17</v>
      </c>
      <c r="H4" s="2" t="s">
        <v>21</v>
      </c>
      <c r="I4" s="2" t="s">
        <v>22</v>
      </c>
    </row>
    <row r="5">
      <c r="A5" s="2" t="s">
        <v>23</v>
      </c>
      <c r="B5" s="2">
        <v>60.0</v>
      </c>
      <c r="C5" s="2" t="s">
        <v>10</v>
      </c>
      <c r="D5" s="2" t="s">
        <v>16</v>
      </c>
      <c r="E5" s="3">
        <v>0.0</v>
      </c>
      <c r="F5" s="2" t="s">
        <v>24</v>
      </c>
      <c r="G5" s="2" t="s">
        <v>25</v>
      </c>
      <c r="H5" s="4"/>
      <c r="I5" s="2" t="s">
        <v>26</v>
      </c>
    </row>
    <row r="6">
      <c r="A6" s="2" t="s">
        <v>27</v>
      </c>
      <c r="B6" s="2">
        <v>62.0</v>
      </c>
      <c r="C6" s="2" t="s">
        <v>10</v>
      </c>
      <c r="D6" s="2" t="s">
        <v>16</v>
      </c>
      <c r="E6" s="3">
        <v>0.0</v>
      </c>
      <c r="F6" s="2" t="s">
        <v>24</v>
      </c>
      <c r="G6" s="2" t="s">
        <v>25</v>
      </c>
      <c r="H6" s="2" t="s">
        <v>28</v>
      </c>
      <c r="I6" s="2" t="s">
        <v>26</v>
      </c>
    </row>
    <row r="7">
      <c r="A7" s="2" t="s">
        <v>29</v>
      </c>
      <c r="B7" s="2">
        <v>64.0</v>
      </c>
      <c r="C7" s="2" t="s">
        <v>10</v>
      </c>
      <c r="D7" s="2" t="s">
        <v>11</v>
      </c>
      <c r="E7" s="3">
        <v>0.555</v>
      </c>
      <c r="F7" s="2" t="s">
        <v>12</v>
      </c>
      <c r="G7" s="4"/>
      <c r="H7" s="2" t="s">
        <v>30</v>
      </c>
      <c r="I7" s="2" t="s">
        <v>31</v>
      </c>
    </row>
    <row r="8">
      <c r="A8" s="2" t="s">
        <v>32</v>
      </c>
      <c r="B8" s="2">
        <v>65.0</v>
      </c>
      <c r="C8" s="2" t="s">
        <v>10</v>
      </c>
      <c r="D8" s="2" t="s">
        <v>11</v>
      </c>
      <c r="E8" s="3">
        <v>0.245</v>
      </c>
      <c r="F8" s="2" t="s">
        <v>12</v>
      </c>
      <c r="G8" s="4"/>
      <c r="H8" s="2" t="s">
        <v>33</v>
      </c>
      <c r="I8" s="2" t="s">
        <v>34</v>
      </c>
    </row>
    <row r="9">
      <c r="A9" s="2" t="s">
        <v>35</v>
      </c>
      <c r="B9" s="2">
        <v>66.0</v>
      </c>
      <c r="C9" s="2" t="s">
        <v>10</v>
      </c>
      <c r="D9" s="2" t="s">
        <v>11</v>
      </c>
      <c r="E9" s="3">
        <v>0.509</v>
      </c>
      <c r="F9" s="2" t="s">
        <v>12</v>
      </c>
      <c r="G9" s="4"/>
      <c r="H9" s="2" t="s">
        <v>36</v>
      </c>
      <c r="I9" s="2" t="s">
        <v>37</v>
      </c>
    </row>
    <row r="10">
      <c r="A10" s="2" t="s">
        <v>38</v>
      </c>
      <c r="B10" s="2">
        <v>67.0</v>
      </c>
      <c r="C10" s="2" t="s">
        <v>10</v>
      </c>
      <c r="D10" s="2" t="s">
        <v>11</v>
      </c>
      <c r="E10" s="3">
        <v>0.679</v>
      </c>
      <c r="F10" s="2" t="s">
        <v>12</v>
      </c>
      <c r="G10" s="4"/>
      <c r="H10" s="2" t="s">
        <v>39</v>
      </c>
      <c r="I10" s="2" t="s">
        <v>40</v>
      </c>
    </row>
    <row r="11">
      <c r="A11" s="2" t="s">
        <v>41</v>
      </c>
      <c r="B11" s="2">
        <v>68.0</v>
      </c>
      <c r="C11" s="2" t="s">
        <v>10</v>
      </c>
      <c r="D11" s="2" t="s">
        <v>11</v>
      </c>
      <c r="E11" s="3">
        <v>0.865</v>
      </c>
      <c r="F11" s="2" t="s">
        <v>12</v>
      </c>
      <c r="G11" s="4"/>
      <c r="H11" s="2" t="s">
        <v>42</v>
      </c>
      <c r="I11" s="2" t="s">
        <v>43</v>
      </c>
    </row>
    <row r="12">
      <c r="A12" s="2" t="s">
        <v>44</v>
      </c>
      <c r="B12" s="2">
        <v>69.0</v>
      </c>
      <c r="C12" s="2" t="s">
        <v>10</v>
      </c>
      <c r="D12" s="2" t="s">
        <v>11</v>
      </c>
      <c r="E12" s="3">
        <v>0.543</v>
      </c>
      <c r="F12" s="2" t="s">
        <v>12</v>
      </c>
      <c r="G12" s="4"/>
      <c r="H12" s="2" t="s">
        <v>45</v>
      </c>
      <c r="I12" s="2" t="s">
        <v>46</v>
      </c>
    </row>
    <row r="13">
      <c r="A13" s="2" t="s">
        <v>47</v>
      </c>
      <c r="B13" s="2">
        <v>70.0</v>
      </c>
      <c r="C13" s="2" t="s">
        <v>10</v>
      </c>
      <c r="D13" s="2" t="s">
        <v>11</v>
      </c>
      <c r="E13" s="3">
        <v>0.787</v>
      </c>
      <c r="F13" s="2" t="s">
        <v>12</v>
      </c>
      <c r="G13" s="4"/>
      <c r="H13" s="2" t="s">
        <v>48</v>
      </c>
      <c r="I13" s="2" t="s">
        <v>49</v>
      </c>
    </row>
    <row r="14">
      <c r="A14" s="2" t="s">
        <v>50</v>
      </c>
      <c r="B14" s="2">
        <v>71.0</v>
      </c>
      <c r="C14" s="2" t="s">
        <v>10</v>
      </c>
      <c r="D14" s="2" t="s">
        <v>11</v>
      </c>
      <c r="E14" s="3">
        <v>0.786</v>
      </c>
      <c r="F14" s="2" t="s">
        <v>12</v>
      </c>
      <c r="G14" s="4"/>
      <c r="H14" s="2" t="s">
        <v>51</v>
      </c>
      <c r="I14" s="2" t="s">
        <v>52</v>
      </c>
    </row>
    <row r="15">
      <c r="A15" s="2" t="s">
        <v>53</v>
      </c>
      <c r="B15" s="2">
        <v>72.0</v>
      </c>
      <c r="C15" s="2" t="s">
        <v>10</v>
      </c>
      <c r="D15" s="2" t="s">
        <v>11</v>
      </c>
      <c r="E15" s="3">
        <v>0.721</v>
      </c>
      <c r="F15" s="2" t="s">
        <v>12</v>
      </c>
      <c r="G15" s="4"/>
      <c r="H15" s="2" t="s">
        <v>54</v>
      </c>
      <c r="I15" s="2" t="s">
        <v>55</v>
      </c>
    </row>
    <row r="16">
      <c r="A16" s="2" t="s">
        <v>56</v>
      </c>
      <c r="B16" s="2">
        <v>73.0</v>
      </c>
      <c r="C16" s="2" t="s">
        <v>10</v>
      </c>
      <c r="D16" s="2" t="s">
        <v>11</v>
      </c>
      <c r="E16" s="3">
        <v>0.583</v>
      </c>
      <c r="F16" s="2" t="s">
        <v>12</v>
      </c>
      <c r="G16" s="4"/>
      <c r="H16" s="2" t="s">
        <v>57</v>
      </c>
      <c r="I16" s="2" t="s">
        <v>58</v>
      </c>
    </row>
    <row r="17">
      <c r="A17" s="2" t="s">
        <v>59</v>
      </c>
      <c r="B17" s="2">
        <v>74.0</v>
      </c>
      <c r="C17" s="2" t="s">
        <v>10</v>
      </c>
      <c r="D17" s="2" t="s">
        <v>11</v>
      </c>
      <c r="E17" s="3">
        <v>0.185</v>
      </c>
      <c r="F17" s="2" t="s">
        <v>12</v>
      </c>
      <c r="G17" s="4"/>
      <c r="H17" s="2" t="s">
        <v>60</v>
      </c>
      <c r="I17" s="2" t="s">
        <v>61</v>
      </c>
    </row>
    <row r="18">
      <c r="A18" s="2" t="s">
        <v>62</v>
      </c>
      <c r="B18" s="2">
        <v>75.0</v>
      </c>
      <c r="C18" s="2" t="s">
        <v>10</v>
      </c>
      <c r="D18" s="2" t="s">
        <v>11</v>
      </c>
      <c r="E18" s="3">
        <v>0.628</v>
      </c>
      <c r="F18" s="2" t="s">
        <v>12</v>
      </c>
      <c r="G18" s="4"/>
      <c r="H18" s="2" t="s">
        <v>63</v>
      </c>
      <c r="I18" s="2" t="s">
        <v>64</v>
      </c>
    </row>
    <row r="19">
      <c r="A19" s="2" t="s">
        <v>65</v>
      </c>
      <c r="B19" s="2">
        <v>76.0</v>
      </c>
      <c r="C19" s="2" t="s">
        <v>10</v>
      </c>
      <c r="D19" s="2" t="s">
        <v>11</v>
      </c>
      <c r="E19" s="3">
        <v>0.597</v>
      </c>
      <c r="F19" s="2" t="s">
        <v>12</v>
      </c>
      <c r="G19" s="4"/>
      <c r="H19" s="2" t="s">
        <v>66</v>
      </c>
      <c r="I19" s="2" t="s">
        <v>67</v>
      </c>
    </row>
    <row r="20">
      <c r="A20" s="2" t="s">
        <v>68</v>
      </c>
      <c r="B20" s="2">
        <v>77.0</v>
      </c>
      <c r="C20" s="2" t="s">
        <v>10</v>
      </c>
      <c r="D20" s="2" t="s">
        <v>11</v>
      </c>
      <c r="E20" s="3">
        <v>0.693</v>
      </c>
      <c r="F20" s="2" t="s">
        <v>12</v>
      </c>
      <c r="G20" s="4"/>
      <c r="H20" s="2" t="s">
        <v>69</v>
      </c>
      <c r="I20" s="2" t="s">
        <v>70</v>
      </c>
    </row>
    <row r="21" ht="15.75" customHeight="1">
      <c r="A21" s="2" t="s">
        <v>71</v>
      </c>
      <c r="B21" s="2">
        <v>78.0</v>
      </c>
      <c r="C21" s="2" t="s">
        <v>10</v>
      </c>
      <c r="D21" s="2" t="s">
        <v>11</v>
      </c>
      <c r="E21" s="3">
        <v>0.166</v>
      </c>
      <c r="F21" s="2" t="s">
        <v>12</v>
      </c>
      <c r="G21" s="4"/>
      <c r="H21" s="2" t="s">
        <v>72</v>
      </c>
      <c r="I21" s="2" t="s">
        <v>73</v>
      </c>
    </row>
    <row r="22" ht="15.75" customHeight="1">
      <c r="A22" s="2" t="s">
        <v>74</v>
      </c>
      <c r="B22" s="2">
        <v>79.0</v>
      </c>
      <c r="C22" s="2" t="s">
        <v>10</v>
      </c>
      <c r="D22" s="2" t="s">
        <v>11</v>
      </c>
      <c r="E22" s="3">
        <v>0.668</v>
      </c>
      <c r="F22" s="2" t="s">
        <v>12</v>
      </c>
      <c r="G22" s="4"/>
      <c r="H22" s="2" t="s">
        <v>75</v>
      </c>
      <c r="I22" s="2" t="s">
        <v>76</v>
      </c>
    </row>
    <row r="23" ht="15.75" customHeight="1">
      <c r="A23" s="2" t="s">
        <v>77</v>
      </c>
      <c r="B23" s="2">
        <v>80.0</v>
      </c>
      <c r="C23" s="2" t="s">
        <v>10</v>
      </c>
      <c r="D23" s="2" t="s">
        <v>16</v>
      </c>
      <c r="E23" s="3">
        <v>2.185</v>
      </c>
      <c r="F23" s="2" t="s">
        <v>12</v>
      </c>
      <c r="G23" s="2" t="s">
        <v>17</v>
      </c>
      <c r="H23" s="2" t="s">
        <v>78</v>
      </c>
      <c r="I23" s="2" t="s">
        <v>79</v>
      </c>
    </row>
    <row r="24" ht="15.75" customHeight="1">
      <c r="A24" s="2" t="s">
        <v>80</v>
      </c>
      <c r="B24" s="2">
        <v>81.0</v>
      </c>
      <c r="C24" s="2" t="s">
        <v>10</v>
      </c>
      <c r="D24" s="2" t="s">
        <v>16</v>
      </c>
      <c r="E24" s="3">
        <v>2.177</v>
      </c>
      <c r="F24" s="2" t="s">
        <v>12</v>
      </c>
      <c r="G24" s="2" t="s">
        <v>17</v>
      </c>
      <c r="H24" s="2" t="s">
        <v>81</v>
      </c>
      <c r="I24" s="2" t="s">
        <v>82</v>
      </c>
    </row>
    <row r="25" ht="15.75" customHeight="1">
      <c r="A25" s="2" t="s">
        <v>83</v>
      </c>
      <c r="B25" s="2">
        <v>82.0</v>
      </c>
      <c r="C25" s="2" t="s">
        <v>10</v>
      </c>
      <c r="D25" s="2" t="s">
        <v>16</v>
      </c>
      <c r="E25" s="3">
        <v>2.216</v>
      </c>
      <c r="F25" s="2" t="s">
        <v>12</v>
      </c>
      <c r="G25" s="2" t="s">
        <v>17</v>
      </c>
      <c r="H25" s="2" t="s">
        <v>84</v>
      </c>
      <c r="I25" s="2" t="s">
        <v>85</v>
      </c>
    </row>
    <row r="26" ht="15.75" customHeight="1">
      <c r="A26" s="2" t="s">
        <v>86</v>
      </c>
      <c r="B26" s="2">
        <v>83.0</v>
      </c>
      <c r="C26" s="2" t="s">
        <v>10</v>
      </c>
      <c r="D26" s="2" t="s">
        <v>16</v>
      </c>
      <c r="E26" s="3">
        <v>2.156</v>
      </c>
      <c r="F26" s="2" t="s">
        <v>12</v>
      </c>
      <c r="G26" s="2" t="s">
        <v>17</v>
      </c>
      <c r="H26" s="2" t="s">
        <v>87</v>
      </c>
      <c r="I26" s="2" t="s">
        <v>88</v>
      </c>
    </row>
    <row r="27" ht="15.75" customHeight="1">
      <c r="A27" s="2" t="s">
        <v>89</v>
      </c>
      <c r="B27" s="2">
        <v>84.0</v>
      </c>
      <c r="C27" s="2" t="s">
        <v>10</v>
      </c>
      <c r="D27" s="2" t="s">
        <v>16</v>
      </c>
      <c r="E27" s="3">
        <v>2.223</v>
      </c>
      <c r="F27" s="2" t="s">
        <v>12</v>
      </c>
      <c r="G27" s="2" t="s">
        <v>17</v>
      </c>
      <c r="H27" s="2" t="s">
        <v>78</v>
      </c>
      <c r="I27" s="2" t="s">
        <v>79</v>
      </c>
    </row>
    <row r="28" ht="15.75" customHeight="1">
      <c r="A28" s="2" t="s">
        <v>90</v>
      </c>
      <c r="B28" s="2">
        <v>85.0</v>
      </c>
      <c r="C28" s="2" t="s">
        <v>10</v>
      </c>
      <c r="D28" s="2" t="s">
        <v>16</v>
      </c>
      <c r="E28" s="3">
        <v>2.213</v>
      </c>
      <c r="F28" s="2" t="s">
        <v>12</v>
      </c>
      <c r="G28" s="2" t="s">
        <v>17</v>
      </c>
      <c r="H28" s="2" t="s">
        <v>81</v>
      </c>
      <c r="I28" s="2" t="s">
        <v>82</v>
      </c>
    </row>
    <row r="29" ht="15.75" customHeight="1">
      <c r="A29" s="2" t="s">
        <v>91</v>
      </c>
      <c r="B29" s="2">
        <v>86.0</v>
      </c>
      <c r="C29" s="2" t="s">
        <v>10</v>
      </c>
      <c r="D29" s="2" t="s">
        <v>16</v>
      </c>
      <c r="E29" s="3">
        <v>2.182</v>
      </c>
      <c r="F29" s="2" t="s">
        <v>12</v>
      </c>
      <c r="G29" s="2" t="s">
        <v>17</v>
      </c>
      <c r="H29" s="2" t="s">
        <v>84</v>
      </c>
      <c r="I29" s="2" t="s">
        <v>85</v>
      </c>
    </row>
    <row r="30" ht="15.75" customHeight="1">
      <c r="A30" s="2" t="s">
        <v>92</v>
      </c>
      <c r="B30" s="2">
        <v>87.0</v>
      </c>
      <c r="C30" s="2" t="s">
        <v>10</v>
      </c>
      <c r="D30" s="2" t="s">
        <v>16</v>
      </c>
      <c r="E30" s="3">
        <v>2.202</v>
      </c>
      <c r="F30" s="2" t="s">
        <v>12</v>
      </c>
      <c r="G30" s="2" t="s">
        <v>17</v>
      </c>
      <c r="H30" s="2" t="s">
        <v>87</v>
      </c>
      <c r="I30" s="2" t="s">
        <v>88</v>
      </c>
    </row>
    <row r="31" ht="15.75" customHeight="1">
      <c r="A31" s="2" t="s">
        <v>93</v>
      </c>
      <c r="B31" s="2">
        <v>88.0</v>
      </c>
      <c r="C31" s="2" t="s">
        <v>10</v>
      </c>
      <c r="D31" s="2" t="s">
        <v>16</v>
      </c>
      <c r="E31" s="3">
        <v>0.0</v>
      </c>
      <c r="F31" s="2" t="s">
        <v>24</v>
      </c>
      <c r="G31" s="2" t="s">
        <v>25</v>
      </c>
      <c r="H31" s="2" t="s">
        <v>28</v>
      </c>
      <c r="I31" s="2" t="s">
        <v>26</v>
      </c>
    </row>
    <row r="32" ht="15.75" customHeight="1">
      <c r="A32" s="2" t="s">
        <v>94</v>
      </c>
      <c r="B32" s="2">
        <v>90.0</v>
      </c>
      <c r="C32" s="2" t="s">
        <v>10</v>
      </c>
      <c r="D32" s="2" t="s">
        <v>11</v>
      </c>
      <c r="E32" s="3">
        <v>0.683</v>
      </c>
      <c r="F32" s="2" t="s">
        <v>12</v>
      </c>
      <c r="G32" s="4"/>
      <c r="H32" s="2" t="s">
        <v>95</v>
      </c>
      <c r="I32" s="2" t="s">
        <v>96</v>
      </c>
    </row>
    <row r="33" ht="15.75" customHeight="1">
      <c r="A33" s="4"/>
      <c r="B33" s="4"/>
      <c r="C33" s="4"/>
      <c r="D33" s="4"/>
      <c r="E33" s="5"/>
      <c r="F33" s="4"/>
      <c r="G33" s="4"/>
      <c r="H33" s="4"/>
      <c r="I33" s="4"/>
    </row>
    <row r="34" ht="15.75" customHeight="1">
      <c r="A34" s="4"/>
      <c r="B34" s="4"/>
      <c r="C34" s="4"/>
      <c r="D34" s="4"/>
      <c r="E34" s="5"/>
      <c r="F34" s="4"/>
      <c r="G34" s="4"/>
      <c r="H34" s="4"/>
      <c r="I34" s="4"/>
    </row>
    <row r="35" ht="15.75" customHeight="1">
      <c r="A35" s="4"/>
      <c r="B35" s="4"/>
      <c r="C35" s="4"/>
      <c r="D35" s="4"/>
      <c r="E35" s="5"/>
      <c r="F35" s="4"/>
      <c r="G35" s="4"/>
      <c r="H35" s="4"/>
      <c r="I35" s="4"/>
    </row>
    <row r="36" ht="15.75" customHeight="1">
      <c r="A36" s="4"/>
      <c r="B36" s="4"/>
      <c r="C36" s="4"/>
      <c r="D36" s="4"/>
      <c r="E36" s="5"/>
      <c r="F36" s="4"/>
      <c r="G36" s="4"/>
      <c r="H36" s="4"/>
      <c r="I36" s="4"/>
    </row>
    <row r="37" ht="15.75" customHeight="1">
      <c r="A37" s="4"/>
      <c r="B37" s="4"/>
      <c r="C37" s="4"/>
      <c r="D37" s="4"/>
      <c r="E37" s="5"/>
      <c r="F37" s="4"/>
      <c r="G37" s="4"/>
      <c r="H37" s="4"/>
      <c r="I37" s="4"/>
    </row>
    <row r="38" ht="15.75" customHeight="1">
      <c r="A38" s="4"/>
      <c r="B38" s="4"/>
      <c r="C38" s="4"/>
      <c r="D38" s="4"/>
      <c r="E38" s="5"/>
      <c r="F38" s="4"/>
      <c r="G38" s="4"/>
      <c r="H38" s="4"/>
      <c r="I38" s="4"/>
    </row>
    <row r="39" ht="15.75" customHeight="1">
      <c r="A39" s="4"/>
      <c r="B39" s="4"/>
      <c r="C39" s="4"/>
      <c r="D39" s="4"/>
      <c r="E39" s="5"/>
      <c r="F39" s="4"/>
      <c r="G39" s="4"/>
      <c r="H39" s="4"/>
      <c r="I39" s="4"/>
    </row>
    <row r="40" ht="15.75" customHeight="1">
      <c r="A40" s="4"/>
      <c r="B40" s="4"/>
      <c r="C40" s="4"/>
      <c r="D40" s="4"/>
      <c r="E40" s="5"/>
      <c r="F40" s="4"/>
      <c r="G40" s="4"/>
      <c r="H40" s="4"/>
      <c r="I40" s="4"/>
    </row>
    <row r="41" ht="15.75" customHeight="1">
      <c r="A41" s="4"/>
      <c r="B41" s="4"/>
      <c r="C41" s="4"/>
      <c r="D41" s="4"/>
      <c r="E41" s="5"/>
      <c r="F41" s="4"/>
      <c r="G41" s="4"/>
      <c r="H41" s="4"/>
      <c r="I41" s="4"/>
    </row>
    <row r="42" ht="15.75" customHeight="1">
      <c r="A42" s="4"/>
      <c r="B42" s="4"/>
      <c r="C42" s="4"/>
      <c r="D42" s="4"/>
      <c r="E42" s="5"/>
      <c r="F42" s="4"/>
      <c r="G42" s="4"/>
      <c r="H42" s="4"/>
      <c r="I42" s="4"/>
    </row>
    <row r="43" ht="15.75" customHeight="1">
      <c r="A43" s="4"/>
      <c r="B43" s="4"/>
      <c r="C43" s="4"/>
      <c r="D43" s="4"/>
      <c r="E43" s="5"/>
      <c r="F43" s="4"/>
      <c r="G43" s="4"/>
      <c r="H43" s="4"/>
      <c r="I43" s="4"/>
    </row>
    <row r="44" ht="15.75" customHeight="1">
      <c r="A44" s="4"/>
      <c r="B44" s="4"/>
      <c r="C44" s="4"/>
      <c r="D44" s="4"/>
      <c r="E44" s="5"/>
      <c r="F44" s="4"/>
      <c r="G44" s="4"/>
      <c r="H44" s="4"/>
      <c r="I44" s="4"/>
    </row>
    <row r="45" ht="15.75" customHeight="1">
      <c r="A45" s="4"/>
      <c r="B45" s="4"/>
      <c r="C45" s="4"/>
      <c r="D45" s="4"/>
      <c r="E45" s="5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5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5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5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5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5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5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5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5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5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5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5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5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5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5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5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5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5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5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5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5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5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5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5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5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5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5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5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5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5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5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5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5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5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5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5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5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5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5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5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5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5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5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5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5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5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5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5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5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5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5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5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5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5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5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5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5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5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5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5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5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5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5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5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5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5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5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5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5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5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5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5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5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5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5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5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5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5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5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5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5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5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5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5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5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5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5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5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5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5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5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5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5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5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5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5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5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5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5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5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5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5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5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5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5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5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5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5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5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5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5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5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5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5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5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5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5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5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5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5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5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5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5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5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5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5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5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5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5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5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5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5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5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5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5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5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5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5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5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5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5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5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5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5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5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5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5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5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5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5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5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5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5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5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5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5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5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5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5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5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5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5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5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5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5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5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5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5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5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5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5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5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5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5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5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5"/>
      <c r="F220" s="4"/>
      <c r="G220" s="4"/>
      <c r="H220" s="4"/>
      <c r="I220" s="4"/>
    </row>
    <row r="221" ht="15.75" customHeight="1">
      <c r="D221" s="6"/>
    </row>
    <row r="222" ht="15.75" customHeight="1">
      <c r="D222" s="6"/>
    </row>
    <row r="223" ht="15.75" customHeight="1">
      <c r="D223" s="6"/>
    </row>
    <row r="224" ht="15.75" customHeight="1">
      <c r="D224" s="6"/>
    </row>
    <row r="225" ht="15.75" customHeight="1">
      <c r="D225" s="6"/>
    </row>
    <row r="226" ht="15.75" customHeight="1">
      <c r="D226" s="6"/>
    </row>
    <row r="227" ht="15.75" customHeight="1">
      <c r="D227" s="6"/>
    </row>
    <row r="228" ht="15.75" customHeight="1">
      <c r="D228" s="6"/>
    </row>
    <row r="229" ht="15.75" customHeight="1">
      <c r="D229" s="6"/>
    </row>
    <row r="230" ht="15.75" customHeight="1">
      <c r="D230" s="6"/>
    </row>
    <row r="231" ht="15.75" customHeight="1">
      <c r="D231" s="6"/>
    </row>
    <row r="232" ht="15.75" customHeight="1">
      <c r="D232" s="6"/>
    </row>
    <row r="233" ht="15.75" customHeight="1">
      <c r="D233" s="6"/>
    </row>
    <row r="234" ht="15.75" customHeight="1">
      <c r="D234" s="6"/>
    </row>
    <row r="235" ht="15.75" customHeight="1">
      <c r="D235" s="6"/>
    </row>
    <row r="236" ht="15.75" customHeight="1">
      <c r="D236" s="6"/>
    </row>
    <row r="237" ht="15.75" customHeight="1">
      <c r="D237" s="6"/>
    </row>
    <row r="238" ht="15.75" customHeight="1">
      <c r="D238" s="6"/>
    </row>
    <row r="239" ht="15.75" customHeight="1">
      <c r="D239" s="6"/>
    </row>
    <row r="240" ht="15.75" customHeight="1">
      <c r="D240" s="6"/>
    </row>
    <row r="241" ht="15.75" customHeight="1">
      <c r="D241" s="6"/>
    </row>
    <row r="242" ht="15.75" customHeight="1">
      <c r="D242" s="6"/>
    </row>
    <row r="243" ht="15.75" customHeight="1">
      <c r="D243" s="6"/>
    </row>
    <row r="244" ht="15.75" customHeight="1">
      <c r="D244" s="6"/>
    </row>
    <row r="245" ht="15.75" customHeight="1">
      <c r="D245" s="6"/>
    </row>
    <row r="246" ht="15.75" customHeight="1">
      <c r="D246" s="6"/>
    </row>
    <row r="247" ht="15.75" customHeight="1">
      <c r="D247" s="6"/>
    </row>
    <row r="248" ht="15.75" customHeight="1">
      <c r="D248" s="6"/>
    </row>
    <row r="249" ht="15.75" customHeight="1">
      <c r="D249" s="6"/>
    </row>
    <row r="250" ht="15.75" customHeight="1">
      <c r="D250" s="6"/>
    </row>
    <row r="251" ht="15.75" customHeight="1">
      <c r="D251" s="6"/>
    </row>
    <row r="252" ht="15.75" customHeight="1">
      <c r="D252" s="6"/>
    </row>
    <row r="253" ht="15.75" customHeight="1">
      <c r="D253" s="6"/>
    </row>
    <row r="254" ht="15.75" customHeight="1">
      <c r="D254" s="6"/>
    </row>
    <row r="255" ht="15.75" customHeight="1">
      <c r="D255" s="6"/>
    </row>
    <row r="256" ht="15.75" customHeight="1">
      <c r="D256" s="6"/>
    </row>
    <row r="257" ht="15.75" customHeight="1">
      <c r="D257" s="6"/>
    </row>
    <row r="258" ht="15.75" customHeight="1">
      <c r="D258" s="6"/>
    </row>
    <row r="259" ht="15.75" customHeight="1">
      <c r="D259" s="6"/>
    </row>
    <row r="260" ht="15.75" customHeight="1">
      <c r="D260" s="6"/>
    </row>
    <row r="261" ht="15.75" customHeight="1">
      <c r="D261" s="6"/>
    </row>
    <row r="262" ht="15.75" customHeight="1">
      <c r="D262" s="6"/>
    </row>
    <row r="263" ht="15.75" customHeight="1">
      <c r="D263" s="6"/>
    </row>
    <row r="264" ht="15.75" customHeight="1">
      <c r="D264" s="6"/>
    </row>
    <row r="265" ht="15.75" customHeight="1">
      <c r="D265" s="6"/>
    </row>
    <row r="266" ht="15.75" customHeight="1">
      <c r="D266" s="6"/>
    </row>
    <row r="267" ht="15.75" customHeight="1">
      <c r="D267" s="6"/>
    </row>
    <row r="268" ht="15.75" customHeight="1">
      <c r="D268" s="6"/>
    </row>
    <row r="269" ht="15.75" customHeight="1">
      <c r="D269" s="6"/>
    </row>
    <row r="270" ht="15.75" customHeight="1">
      <c r="D270" s="6"/>
    </row>
    <row r="271" ht="15.75" customHeight="1">
      <c r="D271" s="6"/>
    </row>
    <row r="272" ht="15.75" customHeight="1">
      <c r="D272" s="6"/>
    </row>
    <row r="273" ht="15.75" customHeight="1">
      <c r="D273" s="6"/>
    </row>
    <row r="274" ht="15.75" customHeight="1">
      <c r="D274" s="6"/>
    </row>
    <row r="275" ht="15.75" customHeight="1">
      <c r="D275" s="6"/>
    </row>
    <row r="276" ht="15.75" customHeight="1">
      <c r="D276" s="6"/>
    </row>
    <row r="277" ht="15.75" customHeight="1">
      <c r="D277" s="6"/>
    </row>
    <row r="278" ht="15.75" customHeight="1">
      <c r="D278" s="6"/>
    </row>
    <row r="279" ht="15.75" customHeight="1">
      <c r="D279" s="6"/>
    </row>
    <row r="280" ht="15.75" customHeight="1">
      <c r="D280" s="6"/>
    </row>
    <row r="281" ht="15.75" customHeight="1">
      <c r="D281" s="6"/>
    </row>
    <row r="282" ht="15.75" customHeight="1">
      <c r="D282" s="6"/>
    </row>
    <row r="283" ht="15.75" customHeight="1">
      <c r="D283" s="6"/>
    </row>
    <row r="284" ht="15.75" customHeight="1">
      <c r="D284" s="6"/>
    </row>
    <row r="285" ht="15.75" customHeight="1">
      <c r="D285" s="6"/>
    </row>
    <row r="286" ht="15.75" customHeight="1">
      <c r="D286" s="6"/>
    </row>
    <row r="287" ht="15.75" customHeight="1">
      <c r="D287" s="6"/>
    </row>
    <row r="288" ht="15.75" customHeight="1">
      <c r="D288" s="6"/>
    </row>
    <row r="289" ht="15.75" customHeight="1">
      <c r="D289" s="6"/>
    </row>
    <row r="290" ht="15.75" customHeight="1">
      <c r="D290" s="6"/>
    </row>
    <row r="291" ht="15.75" customHeight="1">
      <c r="D291" s="6"/>
    </row>
    <row r="292" ht="15.75" customHeight="1">
      <c r="D292" s="6"/>
    </row>
    <row r="293" ht="15.75" customHeight="1">
      <c r="D293" s="6"/>
    </row>
    <row r="294" ht="15.75" customHeight="1">
      <c r="D294" s="6"/>
    </row>
    <row r="295" ht="15.75" customHeight="1">
      <c r="D295" s="6"/>
    </row>
    <row r="296" ht="15.75" customHeight="1">
      <c r="D296" s="6"/>
    </row>
    <row r="297" ht="15.75" customHeight="1">
      <c r="D297" s="6"/>
    </row>
    <row r="298" ht="15.75" customHeight="1">
      <c r="D298" s="6"/>
    </row>
    <row r="299" ht="15.75" customHeight="1">
      <c r="D299" s="6"/>
    </row>
    <row r="300" ht="15.75" customHeight="1">
      <c r="D300" s="6"/>
    </row>
    <row r="301" ht="15.75" customHeight="1">
      <c r="D301" s="6"/>
    </row>
    <row r="302" ht="15.75" customHeight="1">
      <c r="D302" s="6"/>
    </row>
    <row r="303" ht="15.75" customHeight="1">
      <c r="D303" s="6"/>
    </row>
    <row r="304" ht="15.75" customHeight="1">
      <c r="D304" s="6"/>
    </row>
    <row r="305" ht="15.75" customHeight="1">
      <c r="D305" s="6"/>
    </row>
    <row r="306" ht="15.75" customHeight="1">
      <c r="D306" s="6"/>
    </row>
    <row r="307" ht="15.75" customHeight="1">
      <c r="D307" s="6"/>
    </row>
    <row r="308" ht="15.75" customHeight="1">
      <c r="D308" s="6"/>
    </row>
    <row r="309" ht="15.75" customHeight="1">
      <c r="D309" s="6"/>
    </row>
    <row r="310" ht="15.75" customHeight="1">
      <c r="D310" s="6"/>
    </row>
    <row r="311" ht="15.75" customHeight="1">
      <c r="D311" s="6"/>
    </row>
    <row r="312" ht="15.75" customHeight="1">
      <c r="D312" s="6"/>
    </row>
    <row r="313" ht="15.75" customHeight="1">
      <c r="D313" s="6"/>
    </row>
    <row r="314" ht="15.75" customHeight="1">
      <c r="D314" s="6"/>
    </row>
    <row r="315" ht="15.75" customHeight="1">
      <c r="D315" s="6"/>
    </row>
    <row r="316" ht="15.75" customHeight="1">
      <c r="D316" s="6"/>
    </row>
    <row r="317" ht="15.75" customHeight="1">
      <c r="D317" s="6"/>
    </row>
    <row r="318" ht="15.75" customHeight="1">
      <c r="D318" s="6"/>
    </row>
    <row r="319" ht="15.75" customHeight="1">
      <c r="D319" s="6"/>
    </row>
    <row r="320" ht="15.75" customHeight="1">
      <c r="D320" s="6"/>
    </row>
    <row r="321" ht="15.75" customHeight="1">
      <c r="D321" s="6"/>
    </row>
    <row r="322" ht="15.75" customHeight="1">
      <c r="D322" s="6"/>
    </row>
    <row r="323" ht="15.75" customHeight="1">
      <c r="D323" s="6"/>
    </row>
    <row r="324" ht="15.75" customHeight="1">
      <c r="D324" s="6"/>
    </row>
    <row r="325" ht="15.75" customHeight="1">
      <c r="D325" s="6"/>
    </row>
    <row r="326" ht="15.75" customHeight="1">
      <c r="D326" s="6"/>
    </row>
    <row r="327" ht="15.75" customHeight="1">
      <c r="D327" s="6"/>
    </row>
    <row r="328" ht="15.75" customHeight="1">
      <c r="D328" s="6"/>
    </row>
    <row r="329" ht="15.75" customHeight="1">
      <c r="D329" s="6"/>
    </row>
    <row r="330" ht="15.75" customHeight="1">
      <c r="D330" s="6"/>
    </row>
    <row r="331" ht="15.75" customHeight="1">
      <c r="D331" s="6"/>
    </row>
    <row r="332" ht="15.75" customHeight="1">
      <c r="D332" s="6"/>
    </row>
    <row r="333" ht="15.75" customHeight="1">
      <c r="D333" s="6"/>
    </row>
    <row r="334" ht="15.75" customHeight="1">
      <c r="D334" s="6"/>
    </row>
    <row r="335" ht="15.75" customHeight="1">
      <c r="D335" s="6"/>
    </row>
    <row r="336" ht="15.75" customHeight="1">
      <c r="D336" s="6"/>
    </row>
    <row r="337" ht="15.75" customHeight="1">
      <c r="D337" s="6"/>
    </row>
    <row r="338" ht="15.75" customHeight="1">
      <c r="D338" s="6"/>
    </row>
    <row r="339" ht="15.75" customHeight="1">
      <c r="D339" s="6"/>
    </row>
    <row r="340" ht="15.75" customHeight="1">
      <c r="D340" s="6"/>
    </row>
    <row r="341" ht="15.75" customHeight="1">
      <c r="D341" s="6"/>
    </row>
    <row r="342" ht="15.75" customHeight="1">
      <c r="D342" s="6"/>
    </row>
    <row r="343" ht="15.75" customHeight="1">
      <c r="D343" s="6"/>
    </row>
    <row r="344" ht="15.75" customHeight="1">
      <c r="D344" s="6"/>
    </row>
    <row r="345" ht="15.75" customHeight="1">
      <c r="D345" s="6"/>
    </row>
    <row r="346" ht="15.75" customHeight="1">
      <c r="D346" s="6"/>
    </row>
    <row r="347" ht="15.75" customHeight="1">
      <c r="D347" s="6"/>
    </row>
    <row r="348" ht="15.75" customHeight="1">
      <c r="D348" s="6"/>
    </row>
    <row r="349" ht="15.75" customHeight="1">
      <c r="D349" s="6"/>
    </row>
    <row r="350" ht="15.75" customHeight="1">
      <c r="D350" s="6"/>
    </row>
    <row r="351" ht="15.75" customHeight="1">
      <c r="D351" s="6"/>
    </row>
    <row r="352" ht="15.75" customHeight="1">
      <c r="D352" s="6"/>
    </row>
    <row r="353" ht="15.75" customHeight="1">
      <c r="D353" s="6"/>
    </row>
    <row r="354" ht="15.75" customHeight="1">
      <c r="D354" s="6"/>
    </row>
    <row r="355" ht="15.75" customHeight="1">
      <c r="D355" s="6"/>
    </row>
    <row r="356" ht="15.75" customHeight="1">
      <c r="D356" s="6"/>
    </row>
    <row r="357" ht="15.75" customHeight="1">
      <c r="D357" s="6"/>
    </row>
    <row r="358" ht="15.75" customHeight="1">
      <c r="D358" s="6"/>
    </row>
    <row r="359" ht="15.75" customHeight="1">
      <c r="D359" s="6"/>
    </row>
    <row r="360" ht="15.75" customHeight="1">
      <c r="D360" s="6"/>
    </row>
    <row r="361" ht="15.75" customHeight="1">
      <c r="D361" s="6"/>
    </row>
    <row r="362" ht="15.75" customHeight="1">
      <c r="D362" s="6"/>
    </row>
    <row r="363" ht="15.75" customHeight="1">
      <c r="D363" s="6"/>
    </row>
    <row r="364" ht="15.75" customHeight="1">
      <c r="D364" s="6"/>
    </row>
    <row r="365" ht="15.75" customHeight="1">
      <c r="D365" s="6"/>
    </row>
    <row r="366" ht="15.75" customHeight="1">
      <c r="D366" s="6"/>
    </row>
    <row r="367" ht="15.75" customHeight="1">
      <c r="D367" s="6"/>
    </row>
    <row r="368" ht="15.75" customHeight="1">
      <c r="D368" s="6"/>
    </row>
    <row r="369" ht="15.75" customHeight="1">
      <c r="D369" s="6"/>
    </row>
    <row r="370" ht="15.75" customHeight="1">
      <c r="D370" s="6"/>
    </row>
    <row r="371" ht="15.75" customHeight="1">
      <c r="D371" s="6"/>
    </row>
    <row r="372" ht="15.75" customHeight="1">
      <c r="D372" s="6"/>
    </row>
    <row r="373" ht="15.75" customHeight="1">
      <c r="D373" s="6"/>
    </row>
    <row r="374" ht="15.75" customHeight="1">
      <c r="D374" s="6"/>
    </row>
    <row r="375" ht="15.75" customHeight="1">
      <c r="D375" s="6"/>
    </row>
    <row r="376" ht="15.75" customHeight="1">
      <c r="D376" s="6"/>
    </row>
    <row r="377" ht="15.75" customHeight="1">
      <c r="D377" s="6"/>
    </row>
    <row r="378" ht="15.75" customHeight="1">
      <c r="D378" s="6"/>
    </row>
    <row r="379" ht="15.75" customHeight="1">
      <c r="D379" s="6"/>
    </row>
    <row r="380" ht="15.75" customHeight="1">
      <c r="D380" s="6"/>
    </row>
    <row r="381" ht="15.75" customHeight="1">
      <c r="D381" s="6"/>
    </row>
    <row r="382" ht="15.75" customHeight="1">
      <c r="D382" s="6"/>
    </row>
    <row r="383" ht="15.75" customHeight="1">
      <c r="D383" s="6"/>
    </row>
    <row r="384" ht="15.75" customHeight="1">
      <c r="D384" s="6"/>
    </row>
    <row r="385" ht="15.75" customHeight="1">
      <c r="D385" s="6"/>
    </row>
    <row r="386" ht="15.75" customHeight="1">
      <c r="D386" s="6"/>
    </row>
    <row r="387" ht="15.75" customHeight="1">
      <c r="D387" s="6"/>
    </row>
    <row r="388" ht="15.75" customHeight="1">
      <c r="D388" s="6"/>
    </row>
    <row r="389" ht="15.75" customHeight="1">
      <c r="D389" s="6"/>
    </row>
    <row r="390" ht="15.75" customHeight="1">
      <c r="D390" s="6"/>
    </row>
    <row r="391" ht="15.75" customHeight="1">
      <c r="D391" s="6"/>
    </row>
    <row r="392" ht="15.75" customHeight="1">
      <c r="D392" s="6"/>
    </row>
    <row r="393" ht="15.75" customHeight="1">
      <c r="D393" s="6"/>
    </row>
    <row r="394" ht="15.75" customHeight="1">
      <c r="D394" s="6"/>
    </row>
    <row r="395" ht="15.75" customHeight="1">
      <c r="D395" s="6"/>
    </row>
    <row r="396" ht="15.75" customHeight="1">
      <c r="D396" s="6"/>
    </row>
    <row r="397" ht="15.75" customHeight="1">
      <c r="D397" s="6"/>
    </row>
    <row r="398" ht="15.75" customHeight="1">
      <c r="D398" s="6"/>
    </row>
    <row r="399" ht="15.75" customHeight="1">
      <c r="D399" s="6"/>
    </row>
    <row r="400" ht="15.75" customHeight="1">
      <c r="D400" s="6"/>
    </row>
    <row r="401" ht="15.75" customHeight="1">
      <c r="D401" s="6"/>
    </row>
    <row r="402" ht="15.75" customHeight="1">
      <c r="D402" s="6"/>
    </row>
    <row r="403" ht="15.75" customHeight="1">
      <c r="D403" s="6"/>
    </row>
    <row r="404" ht="15.75" customHeight="1">
      <c r="D404" s="6"/>
    </row>
    <row r="405" ht="15.75" customHeight="1">
      <c r="D405" s="6"/>
    </row>
    <row r="406" ht="15.75" customHeight="1">
      <c r="D406" s="6"/>
    </row>
    <row r="407" ht="15.75" customHeight="1">
      <c r="D407" s="6"/>
    </row>
    <row r="408" ht="15.75" customHeight="1">
      <c r="D408" s="6"/>
    </row>
    <row r="409" ht="15.75" customHeight="1">
      <c r="D409" s="6"/>
    </row>
    <row r="410" ht="15.75" customHeight="1">
      <c r="D410" s="6"/>
    </row>
    <row r="411" ht="15.75" customHeight="1">
      <c r="D411" s="6"/>
    </row>
    <row r="412" ht="15.75" customHeight="1">
      <c r="D412" s="6"/>
    </row>
    <row r="413" ht="15.75" customHeight="1">
      <c r="D413" s="6"/>
    </row>
    <row r="414" ht="15.75" customHeight="1">
      <c r="D414" s="6"/>
    </row>
    <row r="415" ht="15.75" customHeight="1">
      <c r="D415" s="6"/>
    </row>
    <row r="416" ht="15.75" customHeight="1">
      <c r="D416" s="6"/>
    </row>
    <row r="417" ht="15.75" customHeight="1">
      <c r="D417" s="6"/>
    </row>
    <row r="418" ht="15.75" customHeight="1">
      <c r="D418" s="6"/>
    </row>
    <row r="419" ht="15.75" customHeight="1">
      <c r="D419" s="6"/>
    </row>
    <row r="420" ht="15.75" customHeight="1">
      <c r="D420" s="6"/>
    </row>
    <row r="421" ht="15.75" customHeight="1">
      <c r="D421" s="6"/>
    </row>
    <row r="422" ht="15.75" customHeight="1">
      <c r="D422" s="6"/>
    </row>
    <row r="423" ht="15.75" customHeight="1">
      <c r="D423" s="6"/>
    </row>
    <row r="424" ht="15.75" customHeight="1">
      <c r="D424" s="6"/>
    </row>
    <row r="425" ht="15.75" customHeight="1">
      <c r="D425" s="6"/>
    </row>
    <row r="426" ht="15.75" customHeight="1">
      <c r="D426" s="6"/>
    </row>
    <row r="427" ht="15.75" customHeight="1">
      <c r="D427" s="6"/>
    </row>
    <row r="428" ht="15.75" customHeight="1">
      <c r="D428" s="6"/>
    </row>
    <row r="429" ht="15.75" customHeight="1">
      <c r="D429" s="6"/>
    </row>
    <row r="430" ht="15.75" customHeight="1">
      <c r="D430" s="6"/>
    </row>
    <row r="431" ht="15.75" customHeight="1">
      <c r="D431" s="6"/>
    </row>
    <row r="432" ht="15.75" customHeight="1">
      <c r="D432" s="6"/>
    </row>
    <row r="433" ht="15.75" customHeight="1">
      <c r="D433" s="6"/>
    </row>
    <row r="434" ht="15.75" customHeight="1">
      <c r="D434" s="6"/>
    </row>
    <row r="435" ht="15.75" customHeight="1">
      <c r="D435" s="6"/>
    </row>
    <row r="436" ht="15.75" customHeight="1">
      <c r="D436" s="6"/>
    </row>
    <row r="437" ht="15.75" customHeight="1">
      <c r="D437" s="6"/>
    </row>
    <row r="438" ht="15.75" customHeight="1">
      <c r="D438" s="6"/>
    </row>
    <row r="439" ht="15.75" customHeight="1">
      <c r="D439" s="6"/>
    </row>
    <row r="440" ht="15.75" customHeight="1">
      <c r="D440" s="6"/>
    </row>
    <row r="441" ht="15.75" customHeight="1">
      <c r="D441" s="6"/>
    </row>
    <row r="442" ht="15.75" customHeight="1">
      <c r="D442" s="6"/>
    </row>
    <row r="443" ht="15.75" customHeight="1">
      <c r="D443" s="6"/>
    </row>
    <row r="444" ht="15.75" customHeight="1">
      <c r="D444" s="6"/>
    </row>
    <row r="445" ht="15.75" customHeight="1">
      <c r="D445" s="6"/>
    </row>
    <row r="446" ht="15.75" customHeight="1">
      <c r="D446" s="6"/>
    </row>
    <row r="447" ht="15.75" customHeight="1">
      <c r="D447" s="6"/>
    </row>
    <row r="448" ht="15.75" customHeight="1">
      <c r="D448" s="6"/>
    </row>
    <row r="449" ht="15.75" customHeight="1">
      <c r="D449" s="6"/>
    </row>
    <row r="450" ht="15.75" customHeight="1">
      <c r="D450" s="6"/>
    </row>
    <row r="451" ht="15.75" customHeight="1">
      <c r="D451" s="6"/>
    </row>
    <row r="452" ht="15.75" customHeight="1">
      <c r="D452" s="6"/>
    </row>
    <row r="453" ht="15.75" customHeight="1">
      <c r="D453" s="6"/>
    </row>
    <row r="454" ht="15.75" customHeight="1">
      <c r="D454" s="6"/>
    </row>
    <row r="455" ht="15.75" customHeight="1">
      <c r="D455" s="6"/>
    </row>
    <row r="456" ht="15.75" customHeight="1">
      <c r="D456" s="6"/>
    </row>
    <row r="457" ht="15.75" customHeight="1">
      <c r="D457" s="6"/>
    </row>
    <row r="458" ht="15.75" customHeight="1">
      <c r="D458" s="6"/>
    </row>
    <row r="459" ht="15.75" customHeight="1">
      <c r="D459" s="6"/>
    </row>
    <row r="460" ht="15.75" customHeight="1">
      <c r="D460" s="6"/>
    </row>
    <row r="461" ht="15.75" customHeight="1">
      <c r="D461" s="6"/>
    </row>
    <row r="462" ht="15.75" customHeight="1">
      <c r="D462" s="6"/>
    </row>
    <row r="463" ht="15.75" customHeight="1">
      <c r="D463" s="6"/>
    </row>
    <row r="464" ht="15.75" customHeight="1">
      <c r="D464" s="6"/>
    </row>
    <row r="465" ht="15.75" customHeight="1">
      <c r="D465" s="6"/>
    </row>
    <row r="466" ht="15.75" customHeight="1">
      <c r="D466" s="6"/>
    </row>
    <row r="467" ht="15.75" customHeight="1">
      <c r="D467" s="6"/>
    </row>
    <row r="468" ht="15.75" customHeight="1">
      <c r="D468" s="6"/>
    </row>
    <row r="469" ht="15.75" customHeight="1">
      <c r="D469" s="6"/>
    </row>
    <row r="470" ht="15.75" customHeight="1">
      <c r="D470" s="6"/>
    </row>
    <row r="471" ht="15.75" customHeight="1">
      <c r="D471" s="6"/>
    </row>
    <row r="472" ht="15.75" customHeight="1">
      <c r="D472" s="6"/>
    </row>
    <row r="473" ht="15.75" customHeight="1">
      <c r="D473" s="6"/>
    </row>
    <row r="474" ht="15.75" customHeight="1">
      <c r="D474" s="6"/>
    </row>
    <row r="475" ht="15.75" customHeight="1">
      <c r="D475" s="6"/>
    </row>
    <row r="476" ht="15.75" customHeight="1">
      <c r="D476" s="6"/>
    </row>
    <row r="477" ht="15.75" customHeight="1">
      <c r="D477" s="6"/>
    </row>
    <row r="478" ht="15.75" customHeight="1">
      <c r="D478" s="6"/>
    </row>
    <row r="479" ht="15.75" customHeight="1">
      <c r="D479" s="6"/>
    </row>
    <row r="480" ht="15.75" customHeight="1">
      <c r="D480" s="6"/>
    </row>
    <row r="481" ht="15.75" customHeight="1">
      <c r="D481" s="6"/>
    </row>
    <row r="482" ht="15.75" customHeight="1">
      <c r="D482" s="6"/>
    </row>
    <row r="483" ht="15.75" customHeight="1">
      <c r="D483" s="6"/>
    </row>
    <row r="484" ht="15.75" customHeight="1">
      <c r="D484" s="6"/>
    </row>
    <row r="485" ht="15.75" customHeight="1">
      <c r="D485" s="6"/>
    </row>
    <row r="486" ht="15.75" customHeight="1">
      <c r="D486" s="6"/>
    </row>
    <row r="487" ht="15.75" customHeight="1">
      <c r="D487" s="6"/>
    </row>
    <row r="488" ht="15.75" customHeight="1">
      <c r="D488" s="6"/>
    </row>
    <row r="489" ht="15.75" customHeight="1">
      <c r="D489" s="6"/>
    </row>
    <row r="490" ht="15.75" customHeight="1">
      <c r="D490" s="6"/>
    </row>
    <row r="491" ht="15.75" customHeight="1">
      <c r="D491" s="6"/>
    </row>
    <row r="492" ht="15.75" customHeight="1">
      <c r="D492" s="6"/>
    </row>
    <row r="493" ht="15.75" customHeight="1">
      <c r="D493" s="6"/>
    </row>
    <row r="494" ht="15.75" customHeight="1">
      <c r="D494" s="6"/>
    </row>
    <row r="495" ht="15.75" customHeight="1">
      <c r="D495" s="6"/>
    </row>
    <row r="496" ht="15.75" customHeight="1">
      <c r="D496" s="6"/>
    </row>
    <row r="497" ht="15.75" customHeight="1">
      <c r="D497" s="6"/>
    </row>
    <row r="498" ht="15.75" customHeight="1">
      <c r="D498" s="6"/>
    </row>
    <row r="499" ht="15.75" customHeight="1">
      <c r="D499" s="6"/>
    </row>
    <row r="500" ht="15.75" customHeight="1">
      <c r="D500" s="6"/>
    </row>
    <row r="501" ht="15.75" customHeight="1">
      <c r="D501" s="6"/>
    </row>
    <row r="502" ht="15.75" customHeight="1">
      <c r="D502" s="6"/>
    </row>
    <row r="503" ht="15.75" customHeight="1">
      <c r="D503" s="6"/>
    </row>
    <row r="504" ht="15.75" customHeight="1">
      <c r="D504" s="6"/>
    </row>
    <row r="505" ht="15.75" customHeight="1">
      <c r="D505" s="6"/>
    </row>
    <row r="506" ht="15.75" customHeight="1">
      <c r="D506" s="6"/>
    </row>
    <row r="507" ht="15.75" customHeight="1">
      <c r="D507" s="6"/>
    </row>
    <row r="508" ht="15.75" customHeight="1">
      <c r="D508" s="6"/>
    </row>
    <row r="509" ht="15.75" customHeight="1">
      <c r="D509" s="6"/>
    </row>
    <row r="510" ht="15.75" customHeight="1">
      <c r="D510" s="6"/>
    </row>
    <row r="511" ht="15.75" customHeight="1">
      <c r="D511" s="6"/>
    </row>
    <row r="512" ht="15.75" customHeight="1">
      <c r="D512" s="6"/>
    </row>
    <row r="513" ht="15.75" customHeight="1">
      <c r="D513" s="6"/>
    </row>
    <row r="514" ht="15.75" customHeight="1">
      <c r="D514" s="6"/>
    </row>
    <row r="515" ht="15.75" customHeight="1">
      <c r="D515" s="6"/>
    </row>
    <row r="516" ht="15.75" customHeight="1">
      <c r="D516" s="6"/>
    </row>
    <row r="517" ht="15.75" customHeight="1">
      <c r="D517" s="6"/>
    </row>
    <row r="518" ht="15.75" customHeight="1">
      <c r="D518" s="6"/>
    </row>
    <row r="519" ht="15.75" customHeight="1">
      <c r="D519" s="6"/>
    </row>
    <row r="520" ht="15.75" customHeight="1">
      <c r="D520" s="6"/>
    </row>
    <row r="521" ht="15.75" customHeight="1">
      <c r="D521" s="6"/>
    </row>
    <row r="522" ht="15.75" customHeight="1">
      <c r="D522" s="6"/>
    </row>
    <row r="523" ht="15.75" customHeight="1">
      <c r="D523" s="6"/>
    </row>
    <row r="524" ht="15.75" customHeight="1">
      <c r="D524" s="6"/>
    </row>
    <row r="525" ht="15.75" customHeight="1">
      <c r="D525" s="6"/>
    </row>
    <row r="526" ht="15.75" customHeight="1">
      <c r="D526" s="6"/>
    </row>
    <row r="527" ht="15.75" customHeight="1">
      <c r="D527" s="6"/>
    </row>
    <row r="528" ht="15.75" customHeight="1">
      <c r="D528" s="6"/>
    </row>
    <row r="529" ht="15.75" customHeight="1">
      <c r="D529" s="6"/>
    </row>
    <row r="530" ht="15.75" customHeight="1">
      <c r="D530" s="6"/>
    </row>
    <row r="531" ht="15.75" customHeight="1">
      <c r="D531" s="6"/>
    </row>
    <row r="532" ht="15.75" customHeight="1">
      <c r="D532" s="6"/>
    </row>
    <row r="533" ht="15.75" customHeight="1">
      <c r="D533" s="6"/>
    </row>
    <row r="534" ht="15.75" customHeight="1">
      <c r="D534" s="6"/>
    </row>
    <row r="535" ht="15.75" customHeight="1">
      <c r="D535" s="6"/>
    </row>
    <row r="536" ht="15.75" customHeight="1">
      <c r="D536" s="6"/>
    </row>
    <row r="537" ht="15.75" customHeight="1">
      <c r="D537" s="6"/>
    </row>
    <row r="538" ht="15.75" customHeight="1">
      <c r="D538" s="6"/>
    </row>
    <row r="539" ht="15.75" customHeight="1">
      <c r="D539" s="6"/>
    </row>
    <row r="540" ht="15.75" customHeight="1">
      <c r="D540" s="6"/>
    </row>
    <row r="541" ht="15.75" customHeight="1">
      <c r="D541" s="6"/>
    </row>
    <row r="542" ht="15.75" customHeight="1">
      <c r="D542" s="6"/>
    </row>
    <row r="543" ht="15.75" customHeight="1">
      <c r="D543" s="6"/>
    </row>
    <row r="544" ht="15.75" customHeight="1">
      <c r="D544" s="6"/>
    </row>
    <row r="545" ht="15.75" customHeight="1">
      <c r="D545" s="6"/>
    </row>
    <row r="546" ht="15.75" customHeight="1">
      <c r="D546" s="6"/>
    </row>
    <row r="547" ht="15.75" customHeight="1">
      <c r="D547" s="6"/>
    </row>
    <row r="548" ht="15.75" customHeight="1">
      <c r="D548" s="6"/>
    </row>
    <row r="549" ht="15.75" customHeight="1">
      <c r="D549" s="6"/>
    </row>
    <row r="550" ht="15.75" customHeight="1">
      <c r="D550" s="6"/>
    </row>
    <row r="551" ht="15.75" customHeight="1">
      <c r="D551" s="6"/>
    </row>
    <row r="552" ht="15.75" customHeight="1">
      <c r="D552" s="6"/>
    </row>
    <row r="553" ht="15.75" customHeight="1">
      <c r="D553" s="6"/>
    </row>
    <row r="554" ht="15.75" customHeight="1">
      <c r="D554" s="6"/>
    </row>
    <row r="555" ht="15.75" customHeight="1">
      <c r="D555" s="6"/>
    </row>
    <row r="556" ht="15.75" customHeight="1">
      <c r="D556" s="6"/>
    </row>
    <row r="557" ht="15.75" customHeight="1">
      <c r="D557" s="6"/>
    </row>
    <row r="558" ht="15.75" customHeight="1">
      <c r="D558" s="6"/>
    </row>
    <row r="559" ht="15.75" customHeight="1">
      <c r="D559" s="6"/>
    </row>
    <row r="560" ht="15.75" customHeight="1">
      <c r="D560" s="6"/>
    </row>
    <row r="561" ht="15.75" customHeight="1">
      <c r="D561" s="6"/>
    </row>
    <row r="562" ht="15.75" customHeight="1">
      <c r="D562" s="6"/>
    </row>
    <row r="563" ht="15.75" customHeight="1">
      <c r="D563" s="6"/>
    </row>
    <row r="564" ht="15.75" customHeight="1">
      <c r="D564" s="6"/>
    </row>
    <row r="565" ht="15.75" customHeight="1">
      <c r="D565" s="6"/>
    </row>
    <row r="566" ht="15.75" customHeight="1">
      <c r="D566" s="6"/>
    </row>
    <row r="567" ht="15.75" customHeight="1">
      <c r="D567" s="6"/>
    </row>
    <row r="568" ht="15.75" customHeight="1">
      <c r="D568" s="6"/>
    </row>
    <row r="569" ht="15.75" customHeight="1">
      <c r="D569" s="6"/>
    </row>
    <row r="570" ht="15.75" customHeight="1">
      <c r="D570" s="6"/>
    </row>
    <row r="571" ht="15.75" customHeight="1">
      <c r="D571" s="6"/>
    </row>
    <row r="572" ht="15.75" customHeight="1">
      <c r="D572" s="6"/>
    </row>
    <row r="573" ht="15.75" customHeight="1">
      <c r="D573" s="6"/>
    </row>
    <row r="574" ht="15.75" customHeight="1">
      <c r="D574" s="6"/>
    </row>
    <row r="575" ht="15.75" customHeight="1">
      <c r="D575" s="6"/>
    </row>
    <row r="576" ht="15.75" customHeight="1">
      <c r="D576" s="6"/>
    </row>
    <row r="577" ht="15.75" customHeight="1">
      <c r="D577" s="6"/>
    </row>
    <row r="578" ht="15.75" customHeight="1">
      <c r="D578" s="6"/>
    </row>
    <row r="579" ht="15.75" customHeight="1">
      <c r="D579" s="6"/>
    </row>
    <row r="580" ht="15.75" customHeight="1">
      <c r="D580" s="6"/>
    </row>
    <row r="581" ht="15.75" customHeight="1">
      <c r="D581" s="6"/>
    </row>
    <row r="582" ht="15.75" customHeight="1">
      <c r="D582" s="6"/>
    </row>
    <row r="583" ht="15.75" customHeight="1">
      <c r="D583" s="6"/>
    </row>
    <row r="584" ht="15.75" customHeight="1">
      <c r="D584" s="6"/>
    </row>
    <row r="585" ht="15.75" customHeight="1">
      <c r="D585" s="6"/>
    </row>
    <row r="586" ht="15.75" customHeight="1">
      <c r="D586" s="6"/>
    </row>
    <row r="587" ht="15.75" customHeight="1">
      <c r="D587" s="6"/>
    </row>
    <row r="588" ht="15.75" customHeight="1">
      <c r="D588" s="6"/>
    </row>
    <row r="589" ht="15.75" customHeight="1">
      <c r="D589" s="6"/>
    </row>
    <row r="590" ht="15.75" customHeight="1">
      <c r="D590" s="6"/>
    </row>
    <row r="591" ht="15.75" customHeight="1">
      <c r="D591" s="6"/>
    </row>
    <row r="592" ht="15.75" customHeight="1">
      <c r="D592" s="6"/>
    </row>
    <row r="593" ht="15.75" customHeight="1">
      <c r="D593" s="6"/>
    </row>
    <row r="594" ht="15.75" customHeight="1">
      <c r="D594" s="6"/>
    </row>
    <row r="595" ht="15.75" customHeight="1">
      <c r="D595" s="6"/>
    </row>
    <row r="596" ht="15.75" customHeight="1">
      <c r="D596" s="6"/>
    </row>
    <row r="597" ht="15.75" customHeight="1">
      <c r="D597" s="6"/>
    </row>
    <row r="598" ht="15.75" customHeight="1">
      <c r="D598" s="6"/>
    </row>
    <row r="599" ht="15.75" customHeight="1">
      <c r="D599" s="6"/>
    </row>
    <row r="600" ht="15.75" customHeight="1">
      <c r="D600" s="6"/>
    </row>
    <row r="601" ht="15.75" customHeight="1">
      <c r="D601" s="6"/>
    </row>
    <row r="602" ht="15.75" customHeight="1">
      <c r="D602" s="6"/>
    </row>
    <row r="603" ht="15.75" customHeight="1">
      <c r="D603" s="6"/>
    </row>
    <row r="604" ht="15.75" customHeight="1">
      <c r="D604" s="6"/>
    </row>
    <row r="605" ht="15.75" customHeight="1">
      <c r="D605" s="6"/>
    </row>
    <row r="606" ht="15.75" customHeight="1">
      <c r="D606" s="6"/>
    </row>
    <row r="607" ht="15.75" customHeight="1">
      <c r="D607" s="6"/>
    </row>
    <row r="608" ht="15.75" customHeight="1">
      <c r="D608" s="6"/>
    </row>
    <row r="609" ht="15.75" customHeight="1">
      <c r="D609" s="6"/>
    </row>
    <row r="610" ht="15.75" customHeight="1">
      <c r="D610" s="6"/>
    </row>
    <row r="611" ht="15.75" customHeight="1">
      <c r="D611" s="6"/>
    </row>
    <row r="612" ht="15.75" customHeight="1">
      <c r="D612" s="6"/>
    </row>
    <row r="613" ht="15.75" customHeight="1">
      <c r="D613" s="6"/>
    </row>
    <row r="614" ht="15.75" customHeight="1">
      <c r="D614" s="6"/>
    </row>
    <row r="615" ht="15.75" customHeight="1">
      <c r="D615" s="6"/>
    </row>
    <row r="616" ht="15.75" customHeight="1">
      <c r="D616" s="6"/>
    </row>
    <row r="617" ht="15.75" customHeight="1">
      <c r="D617" s="6"/>
    </row>
    <row r="618" ht="15.75" customHeight="1">
      <c r="D618" s="6"/>
    </row>
    <row r="619" ht="15.75" customHeight="1">
      <c r="D619" s="6"/>
    </row>
    <row r="620" ht="15.75" customHeight="1">
      <c r="D620" s="6"/>
    </row>
    <row r="621" ht="15.75" customHeight="1">
      <c r="D621" s="6"/>
    </row>
    <row r="622" ht="15.75" customHeight="1">
      <c r="D622" s="6"/>
    </row>
    <row r="623" ht="15.75" customHeight="1">
      <c r="D623" s="6"/>
    </row>
    <row r="624" ht="15.75" customHeight="1">
      <c r="D624" s="6"/>
    </row>
    <row r="625" ht="15.75" customHeight="1">
      <c r="D625" s="6"/>
    </row>
    <row r="626" ht="15.75" customHeight="1">
      <c r="D626" s="6"/>
    </row>
    <row r="627" ht="15.75" customHeight="1">
      <c r="D627" s="6"/>
    </row>
    <row r="628" ht="15.75" customHeight="1">
      <c r="D628" s="6"/>
    </row>
    <row r="629" ht="15.75" customHeight="1">
      <c r="D629" s="6"/>
    </row>
    <row r="630" ht="15.75" customHeight="1">
      <c r="D630" s="6"/>
    </row>
    <row r="631" ht="15.75" customHeight="1">
      <c r="D631" s="6"/>
    </row>
    <row r="632" ht="15.75" customHeight="1">
      <c r="D632" s="6"/>
    </row>
    <row r="633" ht="15.75" customHeight="1">
      <c r="D633" s="6"/>
    </row>
    <row r="634" ht="15.75" customHeight="1">
      <c r="D634" s="6"/>
    </row>
    <row r="635" ht="15.75" customHeight="1">
      <c r="D635" s="6"/>
    </row>
    <row r="636" ht="15.75" customHeight="1">
      <c r="D636" s="6"/>
    </row>
    <row r="637" ht="15.75" customHeight="1">
      <c r="D637" s="6"/>
    </row>
    <row r="638" ht="15.75" customHeight="1">
      <c r="D638" s="6"/>
    </row>
    <row r="639" ht="15.75" customHeight="1">
      <c r="D639" s="6"/>
    </row>
    <row r="640" ht="15.75" customHeight="1">
      <c r="D640" s="6"/>
    </row>
    <row r="641" ht="15.75" customHeight="1">
      <c r="D641" s="6"/>
    </row>
    <row r="642" ht="15.75" customHeight="1">
      <c r="D642" s="6"/>
    </row>
    <row r="643" ht="15.75" customHeight="1">
      <c r="D643" s="6"/>
    </row>
    <row r="644" ht="15.75" customHeight="1">
      <c r="D644" s="6"/>
    </row>
    <row r="645" ht="15.75" customHeight="1">
      <c r="D645" s="6"/>
    </row>
    <row r="646" ht="15.75" customHeight="1">
      <c r="D646" s="6"/>
    </row>
    <row r="647" ht="15.75" customHeight="1">
      <c r="D647" s="6"/>
    </row>
    <row r="648" ht="15.75" customHeight="1">
      <c r="D648" s="6"/>
    </row>
    <row r="649" ht="15.75" customHeight="1">
      <c r="D649" s="6"/>
    </row>
    <row r="650" ht="15.75" customHeight="1">
      <c r="D650" s="6"/>
    </row>
    <row r="651" ht="15.75" customHeight="1">
      <c r="D651" s="6"/>
    </row>
    <row r="652" ht="15.75" customHeight="1">
      <c r="D652" s="6"/>
    </row>
    <row r="653" ht="15.75" customHeight="1">
      <c r="D653" s="6"/>
    </row>
    <row r="654" ht="15.75" customHeight="1">
      <c r="D654" s="6"/>
    </row>
    <row r="655" ht="15.75" customHeight="1">
      <c r="D655" s="6"/>
    </row>
    <row r="656" ht="15.75" customHeight="1">
      <c r="D656" s="6"/>
    </row>
    <row r="657" ht="15.75" customHeight="1">
      <c r="D657" s="6"/>
    </row>
    <row r="658" ht="15.75" customHeight="1">
      <c r="D658" s="6"/>
    </row>
    <row r="659" ht="15.75" customHeight="1">
      <c r="D659" s="6"/>
    </row>
    <row r="660" ht="15.75" customHeight="1">
      <c r="D660" s="6"/>
    </row>
    <row r="661" ht="15.75" customHeight="1">
      <c r="D661" s="6"/>
    </row>
    <row r="662" ht="15.75" customHeight="1">
      <c r="D662" s="6"/>
    </row>
    <row r="663" ht="15.75" customHeight="1">
      <c r="D663" s="6"/>
    </row>
    <row r="664" ht="15.75" customHeight="1">
      <c r="D664" s="6"/>
    </row>
    <row r="665" ht="15.75" customHeight="1">
      <c r="D665" s="6"/>
    </row>
    <row r="666" ht="15.75" customHeight="1">
      <c r="D666" s="6"/>
    </row>
    <row r="667" ht="15.75" customHeight="1">
      <c r="D667" s="6"/>
    </row>
    <row r="668" ht="15.75" customHeight="1">
      <c r="D668" s="6"/>
    </row>
    <row r="669" ht="15.75" customHeight="1">
      <c r="D669" s="6"/>
    </row>
    <row r="670" ht="15.75" customHeight="1">
      <c r="D670" s="6"/>
    </row>
    <row r="671" ht="15.75" customHeight="1">
      <c r="D671" s="6"/>
    </row>
    <row r="672" ht="15.75" customHeight="1">
      <c r="D672" s="6"/>
    </row>
    <row r="673" ht="15.75" customHeight="1">
      <c r="D673" s="6"/>
    </row>
    <row r="674" ht="15.75" customHeight="1">
      <c r="D674" s="6"/>
    </row>
    <row r="675" ht="15.75" customHeight="1">
      <c r="D675" s="6"/>
    </row>
    <row r="676" ht="15.75" customHeight="1">
      <c r="D676" s="6"/>
    </row>
    <row r="677" ht="15.75" customHeight="1">
      <c r="D677" s="6"/>
    </row>
    <row r="678" ht="15.75" customHeight="1">
      <c r="D678" s="6"/>
    </row>
    <row r="679" ht="15.75" customHeight="1">
      <c r="D679" s="6"/>
    </row>
    <row r="680" ht="15.75" customHeight="1">
      <c r="D680" s="6"/>
    </row>
    <row r="681" ht="15.75" customHeight="1">
      <c r="D681" s="6"/>
    </row>
    <row r="682" ht="15.75" customHeight="1">
      <c r="D682" s="6"/>
    </row>
    <row r="683" ht="15.75" customHeight="1">
      <c r="D683" s="6"/>
    </row>
    <row r="684" ht="15.75" customHeight="1">
      <c r="D684" s="6"/>
    </row>
    <row r="685" ht="15.75" customHeight="1">
      <c r="D685" s="6"/>
    </row>
    <row r="686" ht="15.75" customHeight="1">
      <c r="D686" s="6"/>
    </row>
    <row r="687" ht="15.75" customHeight="1">
      <c r="D687" s="6"/>
    </row>
    <row r="688" ht="15.75" customHeight="1">
      <c r="D688" s="6"/>
    </row>
    <row r="689" ht="15.75" customHeight="1">
      <c r="D689" s="6"/>
    </row>
    <row r="690" ht="15.75" customHeight="1">
      <c r="D690" s="6"/>
    </row>
    <row r="691" ht="15.75" customHeight="1">
      <c r="D691" s="6"/>
    </row>
    <row r="692" ht="15.75" customHeight="1">
      <c r="D692" s="6"/>
    </row>
    <row r="693" ht="15.75" customHeight="1">
      <c r="D693" s="6"/>
    </row>
    <row r="694" ht="15.75" customHeight="1">
      <c r="D694" s="6"/>
    </row>
    <row r="695" ht="15.75" customHeight="1">
      <c r="D695" s="6"/>
    </row>
    <row r="696" ht="15.75" customHeight="1">
      <c r="D696" s="6"/>
    </row>
    <row r="697" ht="15.75" customHeight="1">
      <c r="D697" s="6"/>
    </row>
    <row r="698" ht="15.75" customHeight="1">
      <c r="D698" s="6"/>
    </row>
    <row r="699" ht="15.75" customHeight="1">
      <c r="D699" s="6"/>
    </row>
    <row r="700" ht="15.75" customHeight="1">
      <c r="D700" s="6"/>
    </row>
    <row r="701" ht="15.75" customHeight="1">
      <c r="D701" s="6"/>
    </row>
    <row r="702" ht="15.75" customHeight="1">
      <c r="D702" s="6"/>
    </row>
    <row r="703" ht="15.75" customHeight="1">
      <c r="D703" s="6"/>
    </row>
    <row r="704" ht="15.75" customHeight="1">
      <c r="D704" s="6"/>
    </row>
    <row r="705" ht="15.75" customHeight="1">
      <c r="D705" s="6"/>
    </row>
    <row r="706" ht="15.75" customHeight="1">
      <c r="D706" s="6"/>
    </row>
    <row r="707" ht="15.75" customHeight="1">
      <c r="D707" s="6"/>
    </row>
    <row r="708" ht="15.75" customHeight="1">
      <c r="D708" s="6"/>
    </row>
    <row r="709" ht="15.75" customHeight="1">
      <c r="D709" s="6"/>
    </row>
    <row r="710" ht="15.75" customHeight="1">
      <c r="D710" s="6"/>
    </row>
    <row r="711" ht="15.75" customHeight="1">
      <c r="D711" s="6"/>
    </row>
    <row r="712" ht="15.75" customHeight="1">
      <c r="D712" s="6"/>
    </row>
    <row r="713" ht="15.75" customHeight="1">
      <c r="D713" s="6"/>
    </row>
    <row r="714" ht="15.75" customHeight="1">
      <c r="D714" s="6"/>
    </row>
    <row r="715" ht="15.75" customHeight="1">
      <c r="D715" s="6"/>
    </row>
    <row r="716" ht="15.75" customHeight="1">
      <c r="D716" s="6"/>
    </row>
    <row r="717" ht="15.75" customHeight="1">
      <c r="D717" s="6"/>
    </row>
    <row r="718" ht="15.75" customHeight="1">
      <c r="D718" s="6"/>
    </row>
    <row r="719" ht="15.75" customHeight="1">
      <c r="D719" s="6"/>
    </row>
    <row r="720" ht="15.75" customHeight="1">
      <c r="D720" s="6"/>
    </row>
    <row r="721" ht="15.75" customHeight="1">
      <c r="D721" s="6"/>
    </row>
    <row r="722" ht="15.75" customHeight="1">
      <c r="D722" s="6"/>
    </row>
    <row r="723" ht="15.75" customHeight="1">
      <c r="D723" s="6"/>
    </row>
    <row r="724" ht="15.75" customHeight="1">
      <c r="D724" s="6"/>
    </row>
    <row r="725" ht="15.75" customHeight="1">
      <c r="D725" s="6"/>
    </row>
    <row r="726" ht="15.75" customHeight="1">
      <c r="D726" s="6"/>
    </row>
    <row r="727" ht="15.75" customHeight="1">
      <c r="D727" s="6"/>
    </row>
    <row r="728" ht="15.75" customHeight="1">
      <c r="D728" s="6"/>
    </row>
    <row r="729" ht="15.75" customHeight="1">
      <c r="D729" s="6"/>
    </row>
    <row r="730" ht="15.75" customHeight="1">
      <c r="D730" s="6"/>
    </row>
    <row r="731" ht="15.75" customHeight="1">
      <c r="D731" s="6"/>
    </row>
    <row r="732" ht="15.75" customHeight="1">
      <c r="D732" s="6"/>
    </row>
    <row r="733" ht="15.75" customHeight="1">
      <c r="D733" s="6"/>
    </row>
    <row r="734" ht="15.75" customHeight="1">
      <c r="D734" s="6"/>
    </row>
    <row r="735" ht="15.75" customHeight="1">
      <c r="D735" s="6"/>
    </row>
    <row r="736" ht="15.75" customHeight="1">
      <c r="D736" s="6"/>
    </row>
    <row r="737" ht="15.75" customHeight="1">
      <c r="D737" s="6"/>
    </row>
    <row r="738" ht="15.75" customHeight="1">
      <c r="D738" s="6"/>
    </row>
    <row r="739" ht="15.75" customHeight="1">
      <c r="D739" s="6"/>
    </row>
    <row r="740" ht="15.75" customHeight="1">
      <c r="D740" s="6"/>
    </row>
    <row r="741" ht="15.75" customHeight="1">
      <c r="D741" s="6"/>
    </row>
    <row r="742" ht="15.75" customHeight="1">
      <c r="D742" s="6"/>
    </row>
    <row r="743" ht="15.75" customHeight="1">
      <c r="D743" s="6"/>
    </row>
    <row r="744" ht="15.75" customHeight="1">
      <c r="D744" s="6"/>
    </row>
    <row r="745" ht="15.75" customHeight="1">
      <c r="D745" s="6"/>
    </row>
    <row r="746" ht="15.75" customHeight="1">
      <c r="D746" s="6"/>
    </row>
    <row r="747" ht="15.75" customHeight="1">
      <c r="D747" s="6"/>
    </row>
    <row r="748" ht="15.75" customHeight="1">
      <c r="D748" s="6"/>
    </row>
    <row r="749" ht="15.75" customHeight="1">
      <c r="D749" s="6"/>
    </row>
    <row r="750" ht="15.75" customHeight="1">
      <c r="D750" s="6"/>
    </row>
    <row r="751" ht="15.75" customHeight="1">
      <c r="D751" s="6"/>
    </row>
    <row r="752" ht="15.75" customHeight="1">
      <c r="D752" s="6"/>
    </row>
    <row r="753" ht="15.75" customHeight="1">
      <c r="D753" s="6"/>
    </row>
    <row r="754" ht="15.75" customHeight="1">
      <c r="D754" s="6"/>
    </row>
    <row r="755" ht="15.75" customHeight="1">
      <c r="D755" s="6"/>
    </row>
    <row r="756" ht="15.75" customHeight="1">
      <c r="D756" s="6"/>
    </row>
    <row r="757" ht="15.75" customHeight="1">
      <c r="D757" s="6"/>
    </row>
    <row r="758" ht="15.75" customHeight="1">
      <c r="D758" s="6"/>
    </row>
    <row r="759" ht="15.75" customHeight="1">
      <c r="D759" s="6"/>
    </row>
    <row r="760" ht="15.75" customHeight="1">
      <c r="D760" s="6"/>
    </row>
    <row r="761" ht="15.75" customHeight="1">
      <c r="D761" s="6"/>
    </row>
    <row r="762" ht="15.75" customHeight="1">
      <c r="D762" s="6"/>
    </row>
    <row r="763" ht="15.75" customHeight="1">
      <c r="D763" s="6"/>
    </row>
    <row r="764" ht="15.75" customHeight="1">
      <c r="D764" s="6"/>
    </row>
    <row r="765" ht="15.75" customHeight="1">
      <c r="D765" s="6"/>
    </row>
    <row r="766" ht="15.75" customHeight="1">
      <c r="D766" s="6"/>
    </row>
    <row r="767" ht="15.75" customHeight="1">
      <c r="D767" s="6"/>
    </row>
    <row r="768" ht="15.75" customHeight="1">
      <c r="D768" s="6"/>
    </row>
    <row r="769" ht="15.75" customHeight="1">
      <c r="D769" s="6"/>
    </row>
    <row r="770" ht="15.75" customHeight="1">
      <c r="D770" s="6"/>
    </row>
    <row r="771" ht="15.75" customHeight="1">
      <c r="D771" s="6"/>
    </row>
    <row r="772" ht="15.75" customHeight="1">
      <c r="D772" s="6"/>
    </row>
    <row r="773" ht="15.75" customHeight="1">
      <c r="D773" s="6"/>
    </row>
    <row r="774" ht="15.75" customHeight="1">
      <c r="D774" s="6"/>
    </row>
    <row r="775" ht="15.75" customHeight="1">
      <c r="D775" s="6"/>
    </row>
    <row r="776" ht="15.75" customHeight="1">
      <c r="D776" s="6"/>
    </row>
    <row r="777" ht="15.75" customHeight="1">
      <c r="D777" s="6"/>
    </row>
    <row r="778" ht="15.75" customHeight="1">
      <c r="D778" s="6"/>
    </row>
    <row r="779" ht="15.75" customHeight="1">
      <c r="D779" s="6"/>
    </row>
    <row r="780" ht="15.75" customHeight="1">
      <c r="D780" s="6"/>
    </row>
    <row r="781" ht="15.75" customHeight="1">
      <c r="D781" s="6"/>
    </row>
    <row r="782" ht="15.75" customHeight="1">
      <c r="D782" s="6"/>
    </row>
    <row r="783" ht="15.75" customHeight="1">
      <c r="D783" s="6"/>
    </row>
    <row r="784" ht="15.75" customHeight="1">
      <c r="D784" s="6"/>
    </row>
    <row r="785" ht="15.75" customHeight="1">
      <c r="D785" s="6"/>
    </row>
    <row r="786" ht="15.75" customHeight="1">
      <c r="D786" s="6"/>
    </row>
    <row r="787" ht="15.75" customHeight="1">
      <c r="D787" s="6"/>
    </row>
    <row r="788" ht="15.75" customHeight="1">
      <c r="D788" s="6"/>
    </row>
    <row r="789" ht="15.75" customHeight="1">
      <c r="D789" s="6"/>
    </row>
    <row r="790" ht="15.75" customHeight="1">
      <c r="D790" s="6"/>
    </row>
    <row r="791" ht="15.75" customHeight="1">
      <c r="D791" s="6"/>
    </row>
    <row r="792" ht="15.75" customHeight="1">
      <c r="D792" s="6"/>
    </row>
    <row r="793" ht="15.75" customHeight="1">
      <c r="D793" s="6"/>
    </row>
    <row r="794" ht="15.75" customHeight="1">
      <c r="D794" s="6"/>
    </row>
    <row r="795" ht="15.75" customHeight="1">
      <c r="D795" s="6"/>
    </row>
    <row r="796" ht="15.75" customHeight="1">
      <c r="D796" s="6"/>
    </row>
    <row r="797" ht="15.75" customHeight="1">
      <c r="D797" s="6"/>
    </row>
    <row r="798" ht="15.75" customHeight="1">
      <c r="D798" s="6"/>
    </row>
    <row r="799" ht="15.75" customHeight="1">
      <c r="D799" s="6"/>
    </row>
    <row r="800" ht="15.75" customHeight="1">
      <c r="D800" s="6"/>
    </row>
    <row r="801" ht="15.75" customHeight="1">
      <c r="D801" s="6"/>
    </row>
    <row r="802" ht="15.75" customHeight="1">
      <c r="D802" s="6"/>
    </row>
    <row r="803" ht="15.75" customHeight="1">
      <c r="D803" s="6"/>
    </row>
    <row r="804" ht="15.75" customHeight="1">
      <c r="D804" s="6"/>
    </row>
    <row r="805" ht="15.75" customHeight="1">
      <c r="D805" s="6"/>
    </row>
    <row r="806" ht="15.75" customHeight="1">
      <c r="D806" s="6"/>
    </row>
    <row r="807" ht="15.75" customHeight="1">
      <c r="D807" s="6"/>
    </row>
    <row r="808" ht="15.75" customHeight="1">
      <c r="D808" s="6"/>
    </row>
    <row r="809" ht="15.75" customHeight="1">
      <c r="D809" s="6"/>
    </row>
    <row r="810" ht="15.75" customHeight="1">
      <c r="D810" s="6"/>
    </row>
    <row r="811" ht="15.75" customHeight="1">
      <c r="D811" s="6"/>
    </row>
    <row r="812" ht="15.75" customHeight="1">
      <c r="D812" s="6"/>
    </row>
    <row r="813" ht="15.75" customHeight="1">
      <c r="D813" s="6"/>
    </row>
    <row r="814" ht="15.75" customHeight="1">
      <c r="D814" s="6"/>
    </row>
    <row r="815" ht="15.75" customHeight="1">
      <c r="D815" s="6"/>
    </row>
    <row r="816" ht="15.75" customHeight="1">
      <c r="D816" s="6"/>
    </row>
    <row r="817" ht="15.75" customHeight="1">
      <c r="D817" s="6"/>
    </row>
    <row r="818" ht="15.75" customHeight="1">
      <c r="D818" s="6"/>
    </row>
    <row r="819" ht="15.75" customHeight="1">
      <c r="D819" s="6"/>
    </row>
    <row r="820" ht="15.75" customHeight="1">
      <c r="D820" s="6"/>
    </row>
    <row r="821" ht="15.75" customHeight="1">
      <c r="D821" s="6"/>
    </row>
    <row r="822" ht="15.75" customHeight="1">
      <c r="D822" s="6"/>
    </row>
    <row r="823" ht="15.75" customHeight="1">
      <c r="D823" s="6"/>
    </row>
    <row r="824" ht="15.75" customHeight="1">
      <c r="D824" s="6"/>
    </row>
    <row r="825" ht="15.75" customHeight="1">
      <c r="D825" s="6"/>
    </row>
    <row r="826" ht="15.75" customHeight="1">
      <c r="D826" s="6"/>
    </row>
    <row r="827" ht="15.75" customHeight="1">
      <c r="D827" s="6"/>
    </row>
    <row r="828" ht="15.75" customHeight="1">
      <c r="D828" s="6"/>
    </row>
    <row r="829" ht="15.75" customHeight="1">
      <c r="D829" s="6"/>
    </row>
    <row r="830" ht="15.75" customHeight="1">
      <c r="D830" s="6"/>
    </row>
    <row r="831" ht="15.75" customHeight="1">
      <c r="D831" s="6"/>
    </row>
    <row r="832" ht="15.75" customHeight="1">
      <c r="D832" s="6"/>
    </row>
    <row r="833" ht="15.75" customHeight="1">
      <c r="D833" s="6"/>
    </row>
    <row r="834" ht="15.75" customHeight="1">
      <c r="D834" s="6"/>
    </row>
    <row r="835" ht="15.75" customHeight="1">
      <c r="D835" s="6"/>
    </row>
    <row r="836" ht="15.75" customHeight="1">
      <c r="D836" s="6"/>
    </row>
    <row r="837" ht="15.75" customHeight="1">
      <c r="D837" s="6"/>
    </row>
    <row r="838" ht="15.75" customHeight="1">
      <c r="D838" s="6"/>
    </row>
    <row r="839" ht="15.75" customHeight="1">
      <c r="D839" s="6"/>
    </row>
    <row r="840" ht="15.75" customHeight="1">
      <c r="D840" s="6"/>
    </row>
    <row r="841" ht="15.75" customHeight="1">
      <c r="D841" s="6"/>
    </row>
    <row r="842" ht="15.75" customHeight="1">
      <c r="D842" s="6"/>
    </row>
    <row r="843" ht="15.75" customHeight="1">
      <c r="D843" s="6"/>
    </row>
    <row r="844" ht="15.75" customHeight="1">
      <c r="D844" s="6"/>
    </row>
    <row r="845" ht="15.75" customHeight="1">
      <c r="D845" s="6"/>
    </row>
    <row r="846" ht="15.75" customHeight="1">
      <c r="D846" s="6"/>
    </row>
    <row r="847" ht="15.75" customHeight="1">
      <c r="D847" s="6"/>
    </row>
    <row r="848" ht="15.75" customHeight="1">
      <c r="D848" s="6"/>
    </row>
    <row r="849" ht="15.75" customHeight="1">
      <c r="D849" s="6"/>
    </row>
    <row r="850" ht="15.75" customHeight="1">
      <c r="D850" s="6"/>
    </row>
    <row r="851" ht="15.75" customHeight="1">
      <c r="D851" s="6"/>
    </row>
    <row r="852" ht="15.75" customHeight="1">
      <c r="D852" s="6"/>
    </row>
    <row r="853" ht="15.75" customHeight="1">
      <c r="D853" s="6"/>
    </row>
    <row r="854" ht="15.75" customHeight="1">
      <c r="D854" s="6"/>
    </row>
    <row r="855" ht="15.75" customHeight="1">
      <c r="D855" s="6"/>
    </row>
    <row r="856" ht="15.75" customHeight="1">
      <c r="D856" s="6"/>
    </row>
    <row r="857" ht="15.75" customHeight="1">
      <c r="D857" s="6"/>
    </row>
    <row r="858" ht="15.75" customHeight="1">
      <c r="D858" s="6"/>
    </row>
    <row r="859" ht="15.75" customHeight="1">
      <c r="D859" s="6"/>
    </row>
    <row r="860" ht="15.75" customHeight="1">
      <c r="D860" s="6"/>
    </row>
    <row r="861" ht="15.75" customHeight="1">
      <c r="D861" s="6"/>
    </row>
    <row r="862" ht="15.75" customHeight="1">
      <c r="D862" s="6"/>
    </row>
    <row r="863" ht="15.75" customHeight="1">
      <c r="D863" s="6"/>
    </row>
    <row r="864" ht="15.75" customHeight="1">
      <c r="D864" s="6"/>
    </row>
    <row r="865" ht="15.75" customHeight="1">
      <c r="D865" s="6"/>
    </row>
    <row r="866" ht="15.75" customHeight="1">
      <c r="D866" s="6"/>
    </row>
    <row r="867" ht="15.75" customHeight="1">
      <c r="D867" s="6"/>
    </row>
    <row r="868" ht="15.75" customHeight="1">
      <c r="D868" s="6"/>
    </row>
    <row r="869" ht="15.75" customHeight="1">
      <c r="D869" s="6"/>
    </row>
    <row r="870" ht="15.75" customHeight="1">
      <c r="D870" s="6"/>
    </row>
    <row r="871" ht="15.75" customHeight="1">
      <c r="D871" s="6"/>
    </row>
    <row r="872" ht="15.75" customHeight="1">
      <c r="D872" s="6"/>
    </row>
    <row r="873" ht="15.75" customHeight="1">
      <c r="D873" s="6"/>
    </row>
    <row r="874" ht="15.75" customHeight="1">
      <c r="D874" s="6"/>
    </row>
    <row r="875" ht="15.75" customHeight="1">
      <c r="D875" s="6"/>
    </row>
    <row r="876" ht="15.75" customHeight="1">
      <c r="D876" s="6"/>
    </row>
    <row r="877" ht="15.75" customHeight="1">
      <c r="D877" s="6"/>
    </row>
    <row r="878" ht="15.75" customHeight="1">
      <c r="D878" s="6"/>
    </row>
    <row r="879" ht="15.75" customHeight="1">
      <c r="D879" s="6"/>
    </row>
    <row r="880" ht="15.75" customHeight="1">
      <c r="D880" s="6"/>
    </row>
    <row r="881" ht="15.75" customHeight="1">
      <c r="D881" s="6"/>
    </row>
    <row r="882" ht="15.75" customHeight="1">
      <c r="D882" s="6"/>
    </row>
    <row r="883" ht="15.75" customHeight="1">
      <c r="D883" s="6"/>
    </row>
    <row r="884" ht="15.75" customHeight="1">
      <c r="D884" s="6"/>
    </row>
    <row r="885" ht="15.75" customHeight="1">
      <c r="D885" s="6"/>
    </row>
    <row r="886" ht="15.75" customHeight="1">
      <c r="D886" s="6"/>
    </row>
    <row r="887" ht="15.75" customHeight="1">
      <c r="D887" s="6"/>
    </row>
    <row r="888" ht="15.75" customHeight="1">
      <c r="D888" s="6"/>
    </row>
    <row r="889" ht="15.75" customHeight="1">
      <c r="D889" s="6"/>
    </row>
    <row r="890" ht="15.75" customHeight="1">
      <c r="D890" s="6"/>
    </row>
    <row r="891" ht="15.75" customHeight="1">
      <c r="D891" s="6"/>
    </row>
    <row r="892" ht="15.75" customHeight="1">
      <c r="D892" s="6"/>
    </row>
    <row r="893" ht="15.75" customHeight="1">
      <c r="D893" s="6"/>
    </row>
    <row r="894" ht="15.75" customHeight="1">
      <c r="D894" s="6"/>
    </row>
    <row r="895" ht="15.75" customHeight="1">
      <c r="D895" s="6"/>
    </row>
    <row r="896" ht="15.75" customHeight="1">
      <c r="D896" s="6"/>
    </row>
    <row r="897" ht="15.75" customHeight="1">
      <c r="D897" s="6"/>
    </row>
    <row r="898" ht="15.75" customHeight="1">
      <c r="D898" s="6"/>
    </row>
    <row r="899" ht="15.75" customHeight="1">
      <c r="D899" s="6"/>
    </row>
    <row r="900" ht="15.75" customHeight="1">
      <c r="D900" s="6"/>
    </row>
    <row r="901" ht="15.75" customHeight="1">
      <c r="D901" s="6"/>
    </row>
    <row r="902" ht="15.75" customHeight="1">
      <c r="D902" s="6"/>
    </row>
    <row r="903" ht="15.75" customHeight="1">
      <c r="D903" s="6"/>
    </row>
    <row r="904" ht="15.75" customHeight="1">
      <c r="D904" s="6"/>
    </row>
    <row r="905" ht="15.75" customHeight="1">
      <c r="D905" s="6"/>
    </row>
    <row r="906" ht="15.75" customHeight="1">
      <c r="D906" s="6"/>
    </row>
    <row r="907" ht="15.75" customHeight="1">
      <c r="D907" s="6"/>
    </row>
    <row r="908" ht="15.75" customHeight="1">
      <c r="D908" s="6"/>
    </row>
    <row r="909" ht="15.75" customHeight="1">
      <c r="D909" s="6"/>
    </row>
    <row r="910" ht="15.75" customHeight="1">
      <c r="D910" s="6"/>
    </row>
    <row r="911" ht="15.75" customHeight="1">
      <c r="D911" s="6"/>
    </row>
    <row r="912" ht="15.75" customHeight="1">
      <c r="D912" s="6"/>
    </row>
    <row r="913" ht="15.75" customHeight="1">
      <c r="D913" s="6"/>
    </row>
    <row r="914" ht="15.75" customHeight="1">
      <c r="D914" s="6"/>
    </row>
    <row r="915" ht="15.75" customHeight="1">
      <c r="D915" s="6"/>
    </row>
    <row r="916" ht="15.75" customHeight="1">
      <c r="D916" s="6"/>
    </row>
    <row r="917" ht="15.75" customHeight="1">
      <c r="D917" s="6"/>
    </row>
    <row r="918" ht="15.75" customHeight="1">
      <c r="D918" s="6"/>
    </row>
    <row r="919" ht="15.75" customHeight="1">
      <c r="D919" s="6"/>
    </row>
    <row r="920" ht="15.75" customHeight="1">
      <c r="D920" s="6"/>
    </row>
    <row r="921" ht="15.75" customHeight="1">
      <c r="D921" s="6"/>
    </row>
    <row r="922" ht="15.75" customHeight="1">
      <c r="D922" s="6"/>
    </row>
    <row r="923" ht="15.75" customHeight="1">
      <c r="D923" s="6"/>
    </row>
    <row r="924" ht="15.75" customHeight="1">
      <c r="D924" s="6"/>
    </row>
    <row r="925" ht="15.75" customHeight="1">
      <c r="D925" s="6"/>
    </row>
    <row r="926" ht="15.75" customHeight="1">
      <c r="D926" s="6"/>
    </row>
    <row r="927" ht="15.75" customHeight="1">
      <c r="D927" s="6"/>
    </row>
    <row r="928" ht="15.75" customHeight="1">
      <c r="D928" s="6"/>
    </row>
    <row r="929" ht="15.75" customHeight="1">
      <c r="D929" s="6"/>
    </row>
    <row r="930" ht="15.75" customHeight="1">
      <c r="D930" s="6"/>
    </row>
    <row r="931" ht="15.75" customHeight="1">
      <c r="D931" s="6"/>
    </row>
    <row r="932" ht="15.75" customHeight="1">
      <c r="D932" s="6"/>
    </row>
    <row r="933" ht="15.75" customHeight="1">
      <c r="D933" s="6"/>
    </row>
    <row r="934" ht="15.75" customHeight="1">
      <c r="D934" s="6"/>
    </row>
    <row r="935" ht="15.75" customHeight="1">
      <c r="D935" s="6"/>
    </row>
    <row r="936" ht="15.75" customHeight="1">
      <c r="D936" s="6"/>
    </row>
    <row r="937" ht="15.75" customHeight="1">
      <c r="D937" s="6"/>
    </row>
    <row r="938" ht="15.75" customHeight="1">
      <c r="D938" s="6"/>
    </row>
    <row r="939" ht="15.75" customHeight="1">
      <c r="D939" s="6"/>
    </row>
    <row r="940" ht="15.75" customHeight="1">
      <c r="D940" s="6"/>
    </row>
    <row r="941" ht="15.75" customHeight="1">
      <c r="D941" s="6"/>
    </row>
    <row r="942" ht="15.75" customHeight="1">
      <c r="D942" s="6"/>
    </row>
    <row r="943" ht="15.75" customHeight="1">
      <c r="D943" s="6"/>
    </row>
    <row r="944" ht="15.75" customHeight="1">
      <c r="D944" s="6"/>
    </row>
    <row r="945" ht="15.75" customHeight="1">
      <c r="D945" s="6"/>
    </row>
    <row r="946" ht="15.75" customHeight="1">
      <c r="D946" s="6"/>
    </row>
    <row r="947" ht="15.75" customHeight="1">
      <c r="D947" s="6"/>
    </row>
    <row r="948" ht="15.75" customHeight="1">
      <c r="D948" s="6"/>
    </row>
    <row r="949" ht="15.75" customHeight="1">
      <c r="D949" s="6"/>
    </row>
    <row r="950" ht="15.75" customHeight="1">
      <c r="D950" s="6"/>
    </row>
    <row r="951" ht="15.75" customHeight="1">
      <c r="D951" s="6"/>
    </row>
    <row r="952" ht="15.75" customHeight="1">
      <c r="D952" s="6"/>
    </row>
    <row r="953" ht="15.75" customHeight="1">
      <c r="D953" s="6"/>
    </row>
    <row r="954" ht="15.75" customHeight="1">
      <c r="D954" s="6"/>
    </row>
    <row r="955" ht="15.75" customHeight="1">
      <c r="D955" s="6"/>
    </row>
    <row r="956" ht="15.75" customHeight="1">
      <c r="D956" s="6"/>
    </row>
    <row r="957" ht="15.75" customHeight="1">
      <c r="D957" s="6"/>
    </row>
    <row r="958" ht="15.75" customHeight="1">
      <c r="D958" s="6"/>
    </row>
    <row r="959" ht="15.75" customHeight="1">
      <c r="D959" s="6"/>
    </row>
    <row r="960" ht="15.75" customHeight="1">
      <c r="D960" s="6"/>
    </row>
    <row r="961" ht="15.75" customHeight="1">
      <c r="D961" s="6"/>
    </row>
    <row r="962" ht="15.75" customHeight="1">
      <c r="D962" s="6"/>
    </row>
    <row r="963" ht="15.75" customHeight="1">
      <c r="D963" s="6"/>
    </row>
    <row r="964" ht="15.75" customHeight="1">
      <c r="D964" s="6"/>
    </row>
    <row r="965" ht="15.75" customHeight="1">
      <c r="D965" s="6"/>
    </row>
    <row r="966" ht="15.75" customHeight="1">
      <c r="D966" s="6"/>
    </row>
    <row r="967" ht="15.75" customHeight="1">
      <c r="D967" s="6"/>
    </row>
    <row r="968" ht="15.75" customHeight="1">
      <c r="D968" s="6"/>
    </row>
    <row r="969" ht="15.75" customHeight="1">
      <c r="D969" s="6"/>
    </row>
    <row r="970" ht="15.75" customHeight="1">
      <c r="D970" s="6"/>
    </row>
    <row r="971" ht="15.75" customHeight="1">
      <c r="D971" s="6"/>
    </row>
    <row r="972" ht="15.75" customHeight="1">
      <c r="D972" s="6"/>
    </row>
    <row r="973" ht="15.75" customHeight="1">
      <c r="D973" s="6"/>
    </row>
    <row r="974" ht="15.75" customHeight="1">
      <c r="D974" s="6"/>
    </row>
    <row r="975" ht="15.75" customHeight="1">
      <c r="D975" s="6"/>
    </row>
    <row r="976" ht="15.75" customHeight="1">
      <c r="D976" s="6"/>
    </row>
    <row r="977" ht="15.75" customHeight="1">
      <c r="D977" s="6"/>
    </row>
    <row r="978" ht="15.75" customHeight="1">
      <c r="D978" s="6"/>
    </row>
    <row r="979" ht="15.75" customHeight="1">
      <c r="D979" s="6"/>
    </row>
    <row r="980" ht="15.75" customHeight="1">
      <c r="D980" s="6"/>
    </row>
    <row r="981" ht="15.75" customHeight="1">
      <c r="D981" s="6"/>
    </row>
    <row r="982" ht="15.75" customHeight="1">
      <c r="D982" s="6"/>
    </row>
    <row r="983" ht="15.75" customHeight="1">
      <c r="D983" s="6"/>
    </row>
    <row r="984" ht="15.75" customHeight="1">
      <c r="D984" s="6"/>
    </row>
    <row r="985" ht="15.75" customHeight="1">
      <c r="D985" s="6"/>
    </row>
    <row r="986" ht="15.75" customHeight="1">
      <c r="D986" s="6"/>
    </row>
    <row r="987" ht="15.75" customHeight="1">
      <c r="D987" s="6"/>
    </row>
    <row r="988" ht="15.75" customHeight="1">
      <c r="D988" s="6"/>
    </row>
    <row r="989" ht="15.75" customHeight="1">
      <c r="D989" s="6"/>
    </row>
    <row r="990" ht="15.75" customHeight="1">
      <c r="D990" s="6"/>
    </row>
    <row r="991" ht="15.75" customHeight="1">
      <c r="D991" s="6"/>
    </row>
    <row r="992" ht="15.75" customHeight="1">
      <c r="D992" s="6"/>
    </row>
    <row r="993" ht="15.75" customHeight="1">
      <c r="D993" s="6"/>
    </row>
    <row r="994" ht="15.75" customHeight="1">
      <c r="D994" s="6"/>
    </row>
    <row r="995" ht="15.75" customHeight="1">
      <c r="D995" s="6"/>
    </row>
    <row r="996" ht="15.75" customHeight="1">
      <c r="D996" s="6"/>
    </row>
    <row r="997" ht="15.75" customHeight="1">
      <c r="D997" s="6"/>
    </row>
    <row r="998" ht="15.75" customHeight="1">
      <c r="D998" s="6"/>
    </row>
    <row r="999" ht="15.75" customHeight="1">
      <c r="D999" s="6"/>
    </row>
    <row r="1000" ht="15.75" customHeight="1">
      <c r="D1000" s="6"/>
    </row>
    <row r="1001" ht="15.75" customHeight="1">
      <c r="D1001" s="6"/>
    </row>
    <row r="1002" ht="15.75" customHeight="1">
      <c r="D1002" s="6"/>
    </row>
    <row r="1003" ht="15.75" customHeight="1">
      <c r="D1003" s="6"/>
    </row>
    <row r="1004" ht="15.75" customHeight="1">
      <c r="D1004" s="6"/>
    </row>
    <row r="1005" ht="15.75" customHeight="1">
      <c r="D1005" s="6"/>
    </row>
    <row r="1006" ht="15.75" customHeight="1">
      <c r="D1006" s="6"/>
    </row>
    <row r="1007" ht="15.75" customHeight="1">
      <c r="D1007" s="6"/>
    </row>
    <row r="1008" ht="15.75" customHeight="1">
      <c r="D1008" s="6"/>
    </row>
    <row r="1009" ht="15.75" customHeight="1">
      <c r="D1009" s="6"/>
    </row>
    <row r="1010" ht="15.75" customHeight="1">
      <c r="D1010" s="6"/>
    </row>
    <row r="1011" ht="15.75" customHeight="1">
      <c r="D1011" s="6"/>
    </row>
    <row r="1012" ht="15.75" customHeight="1">
      <c r="D1012" s="6"/>
    </row>
    <row r="1013" ht="15.75" customHeight="1">
      <c r="D1013" s="6"/>
    </row>
    <row r="1014" ht="15.75" customHeight="1">
      <c r="D1014" s="6"/>
    </row>
    <row r="1015" ht="15.75" customHeight="1">
      <c r="D1015" s="6"/>
    </row>
    <row r="1016" ht="15.75" customHeight="1">
      <c r="D1016" s="6"/>
    </row>
    <row r="1017" ht="15.75" customHeight="1">
      <c r="D1017" s="6"/>
    </row>
    <row r="1018" ht="15.75" customHeight="1">
      <c r="D1018" s="6"/>
    </row>
    <row r="1019" ht="15.75" customHeight="1">
      <c r="D1019" s="6"/>
    </row>
    <row r="1020" ht="15.75" customHeight="1">
      <c r="D1020" s="6"/>
    </row>
    <row r="1021" ht="15.75" customHeight="1">
      <c r="D1021" s="6"/>
    </row>
    <row r="1022" ht="15.75" customHeight="1">
      <c r="D1022" s="6"/>
    </row>
    <row r="1023" ht="15.75" customHeight="1">
      <c r="D1023" s="6"/>
    </row>
    <row r="1024" ht="15.75" customHeight="1">
      <c r="D1024" s="6"/>
    </row>
    <row r="1025" ht="15.75" customHeight="1">
      <c r="D1025" s="6"/>
    </row>
    <row r="1026" ht="15.75" customHeight="1">
      <c r="D1026" s="6"/>
    </row>
    <row r="1027" ht="15.75" customHeight="1">
      <c r="D1027" s="6"/>
    </row>
    <row r="1028" ht="15.75" customHeight="1">
      <c r="D1028" s="6"/>
    </row>
    <row r="1029" ht="15.75" customHeight="1">
      <c r="D1029" s="6"/>
    </row>
    <row r="1030" ht="15.75" customHeight="1">
      <c r="D1030" s="6"/>
    </row>
    <row r="1031" ht="15.75" customHeight="1">
      <c r="D1031" s="6"/>
    </row>
  </sheetData>
  <conditionalFormatting sqref="D2:D1031">
    <cfRule type="expression" dxfId="4" priority="1">
      <formula>$D2="success"</formula>
    </cfRule>
  </conditionalFormatting>
  <conditionalFormatting sqref="D2:D1031">
    <cfRule type="expression" dxfId="5" priority="2">
      <formula>$D2="failure"</formula>
    </cfRule>
  </conditionalFormatting>
  <dataValidations>
    <dataValidation type="list" allowBlank="1" sqref="D2:D1031">
      <formula1>"success,failure"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0.0"/>
    <col customWidth="1" min="3" max="3" width="38.0"/>
    <col customWidth="1" min="4" max="4" width="12.0"/>
    <col customWidth="1" min="5" max="5" width="18.0"/>
    <col customWidth="1" min="6" max="9" width="16.0"/>
    <col customWidth="1" min="10" max="26" width="8.63"/>
  </cols>
  <sheetData>
    <row r="1" ht="33.75" customHeight="1">
      <c r="A1" s="7" t="s">
        <v>97</v>
      </c>
    </row>
    <row r="2" ht="24.0" customHeight="1">
      <c r="A2" s="8" t="s">
        <v>98</v>
      </c>
    </row>
    <row r="4" ht="24.0" customHeight="1">
      <c r="A4" s="9" t="s">
        <v>99</v>
      </c>
      <c r="B4" s="10" t="s">
        <v>100</v>
      </c>
      <c r="C4" s="11" t="s">
        <v>101</v>
      </c>
      <c r="E4" s="12" t="s">
        <v>102</v>
      </c>
      <c r="F4" s="12" t="s">
        <v>103</v>
      </c>
    </row>
    <row r="5">
      <c r="A5" s="13" t="s">
        <v>104</v>
      </c>
      <c r="B5" s="14">
        <f>COUNTA(executions!A2:A994)</f>
        <v>31</v>
      </c>
      <c r="C5" s="15" t="s">
        <v>105</v>
      </c>
      <c r="E5" s="16" t="s">
        <v>106</v>
      </c>
      <c r="F5" s="17">
        <f>COUNTIF(executions!D2:D1000,"success")</f>
        <v>18</v>
      </c>
    </row>
    <row r="6">
      <c r="A6" s="13" t="s">
        <v>107</v>
      </c>
      <c r="B6" s="14">
        <f>COUNTIF(executions!D2:D994,"success")</f>
        <v>18</v>
      </c>
      <c r="C6" s="15" t="s">
        <v>108</v>
      </c>
      <c r="E6" s="18" t="s">
        <v>109</v>
      </c>
      <c r="F6" s="19">
        <f>COUNTIF(executions!D2:D1000,"failure")</f>
        <v>13</v>
      </c>
    </row>
    <row r="7">
      <c r="A7" s="13" t="s">
        <v>110</v>
      </c>
      <c r="B7" s="14">
        <f>COUNTIF(executions!D2:D994,"failure")</f>
        <v>13</v>
      </c>
      <c r="C7" s="15" t="s">
        <v>111</v>
      </c>
    </row>
    <row r="8">
      <c r="A8" s="13" t="s">
        <v>112</v>
      </c>
      <c r="B8" s="20">
        <f>IFERROR(COUNTIF(executions!D2:D994,"success")/COUNTA(executions!A2:A994),0)</f>
        <v>0.5806451613</v>
      </c>
      <c r="C8" s="15" t="s">
        <v>113</v>
      </c>
    </row>
    <row r="9">
      <c r="A9" s="13" t="s">
        <v>114</v>
      </c>
      <c r="B9" s="21">
        <f>IFERROR(__xludf.DUMMYFUNCTION("IFERROR(AVERAGE(FILTER(executions!E2:E994,executions!E2:E994&lt;&gt;"""")),0)"),1.038516129032258)</f>
        <v>1.038516129</v>
      </c>
      <c r="C9" s="15" t="s">
        <v>115</v>
      </c>
    </row>
    <row r="10">
      <c r="A10" s="13" t="s">
        <v>116</v>
      </c>
      <c r="B10" s="14" t="str">
        <f>IFERROR(__xludf.DUMMYFUNCTION("IFERROR(INDEX(FILTER(executions!A2:A994,executions!D2:D994=""failure""),ROWS(FILTER(executions!A2:A994,executions!D2:D994=""failure""))),""No failures"")"),"2026-05-19T14:42:45.493+03:00")</f>
        <v>2026-05-19T14:42:45.493+03:00</v>
      </c>
      <c r="C10" s="15" t="s">
        <v>117</v>
      </c>
    </row>
    <row r="11">
      <c r="A11" s="22"/>
      <c r="B11" s="22"/>
      <c r="C11" s="22"/>
    </row>
    <row r="13">
      <c r="A13" s="23" t="s">
        <v>118</v>
      </c>
      <c r="B13" s="23" t="s">
        <v>106</v>
      </c>
      <c r="C13" s="23" t="s">
        <v>109</v>
      </c>
      <c r="D13" s="23" t="s">
        <v>119</v>
      </c>
    </row>
    <row r="14">
      <c r="A14" s="24">
        <f>TODAY()-0</f>
        <v>46161</v>
      </c>
      <c r="B14" s="25">
        <f>COUNTIFS(executions!$A:$A,TEXT(A14,"yyyy-mm-dd")&amp;"*",executions!$D:$D,"success")</f>
        <v>18</v>
      </c>
      <c r="C14" s="25">
        <f>COUNTIFS(executions!$A:$A,TEXT($A14,"yyyy-mm-dd")&amp;"*",executions!$D:$D,"failure")</f>
        <v>13</v>
      </c>
      <c r="D14" s="25">
        <f>B14+C14</f>
        <v>31</v>
      </c>
    </row>
    <row r="15" ht="15.75" customHeight="1"/>
    <row r="16" ht="15.75" customHeight="1"/>
    <row r="17" ht="25.5" customHeight="1">
      <c r="A17" s="26" t="s">
        <v>120</v>
      </c>
    </row>
    <row r="20">
      <c r="A20" s="27" t="s">
        <v>121</v>
      </c>
      <c r="B20" s="28" t="s">
        <v>122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0" t="s">
        <v>123</v>
      </c>
      <c r="B21" s="31" t="s">
        <v>124</v>
      </c>
      <c r="C21" s="32" t="s">
        <v>125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0" t="s">
        <v>126</v>
      </c>
      <c r="B22" s="31" t="s">
        <v>127</v>
      </c>
      <c r="C22" s="32" t="s">
        <v>125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0" t="s">
        <v>128</v>
      </c>
      <c r="B23" s="31" t="s">
        <v>129</v>
      </c>
      <c r="C23" s="32" t="s">
        <v>125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0" t="s">
        <v>130</v>
      </c>
      <c r="B24" s="31" t="s">
        <v>131</v>
      </c>
      <c r="C24" s="32" t="s">
        <v>125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0" t="s">
        <v>132</v>
      </c>
      <c r="B25" s="31" t="s">
        <v>133</v>
      </c>
      <c r="C25" s="32" t="s">
        <v>125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0" t="s">
        <v>134</v>
      </c>
      <c r="B26" s="31" t="s">
        <v>135</v>
      </c>
      <c r="C26" s="32" t="s">
        <v>136</v>
      </c>
      <c r="D26" s="29"/>
      <c r="E26" s="29"/>
      <c r="F26" s="32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3" t="s">
        <v>137</v>
      </c>
      <c r="B27" s="34" t="s">
        <v>138</v>
      </c>
      <c r="C27" s="32" t="s">
        <v>125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1:I1"/>
    <mergeCell ref="A2:I2"/>
    <mergeCell ref="A17:I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0"/>
    <col customWidth="1" min="3" max="3" width="28.0"/>
    <col customWidth="1" min="4" max="4" width="44.0"/>
    <col customWidth="1" min="5" max="5" width="30.0"/>
    <col customWidth="1" min="6" max="6" width="28.0"/>
    <col customWidth="1" min="7" max="26" width="8.63"/>
  </cols>
  <sheetData>
    <row r="1" ht="27.75" customHeight="1">
      <c r="A1" s="35" t="s">
        <v>139</v>
      </c>
      <c r="B1" s="35" t="s">
        <v>140</v>
      </c>
      <c r="C1" s="35" t="s">
        <v>141</v>
      </c>
      <c r="D1" s="35" t="s">
        <v>142</v>
      </c>
      <c r="E1" s="35" t="s">
        <v>143</v>
      </c>
      <c r="F1" s="35" t="s">
        <v>144</v>
      </c>
    </row>
    <row r="2">
      <c r="A2" s="36">
        <v>1.0</v>
      </c>
      <c r="B2" s="37" t="s">
        <v>106</v>
      </c>
      <c r="C2" s="36" t="s">
        <v>145</v>
      </c>
      <c r="D2" s="36" t="s">
        <v>146</v>
      </c>
      <c r="E2" s="36" t="s">
        <v>147</v>
      </c>
      <c r="F2" s="36" t="s">
        <v>148</v>
      </c>
    </row>
    <row r="3">
      <c r="A3" s="36">
        <v>2.0</v>
      </c>
      <c r="B3" s="38" t="s">
        <v>106</v>
      </c>
      <c r="C3" s="36" t="s">
        <v>149</v>
      </c>
      <c r="D3" s="36" t="s">
        <v>150</v>
      </c>
      <c r="E3" s="36" t="s">
        <v>147</v>
      </c>
      <c r="F3" s="36" t="s">
        <v>148</v>
      </c>
    </row>
    <row r="4">
      <c r="A4" s="36">
        <v>3.0</v>
      </c>
      <c r="B4" s="38" t="s">
        <v>106</v>
      </c>
      <c r="C4" s="36" t="s">
        <v>151</v>
      </c>
      <c r="D4" s="36" t="s">
        <v>152</v>
      </c>
      <c r="E4" s="36" t="s">
        <v>147</v>
      </c>
      <c r="F4" s="36" t="s">
        <v>148</v>
      </c>
    </row>
    <row r="5">
      <c r="A5" s="36">
        <v>4.0</v>
      </c>
      <c r="B5" s="38" t="s">
        <v>106</v>
      </c>
      <c r="C5" s="36" t="s">
        <v>153</v>
      </c>
      <c r="D5" s="36" t="s">
        <v>154</v>
      </c>
      <c r="E5" s="36" t="s">
        <v>147</v>
      </c>
      <c r="F5" s="36" t="s">
        <v>148</v>
      </c>
    </row>
    <row r="6">
      <c r="A6" s="36">
        <v>5.0</v>
      </c>
      <c r="B6" s="38" t="s">
        <v>106</v>
      </c>
      <c r="C6" s="36" t="s">
        <v>155</v>
      </c>
      <c r="D6" s="36" t="s">
        <v>156</v>
      </c>
      <c r="E6" s="36" t="s">
        <v>147</v>
      </c>
      <c r="F6" s="36" t="s">
        <v>148</v>
      </c>
    </row>
    <row r="7">
      <c r="A7" s="36">
        <v>6.0</v>
      </c>
      <c r="B7" s="38" t="s">
        <v>106</v>
      </c>
      <c r="C7" s="36" t="s">
        <v>157</v>
      </c>
      <c r="D7" s="36" t="s">
        <v>158</v>
      </c>
      <c r="E7" s="36" t="s">
        <v>147</v>
      </c>
      <c r="F7" s="36" t="s">
        <v>148</v>
      </c>
    </row>
    <row r="8">
      <c r="A8" s="36">
        <v>7.0</v>
      </c>
      <c r="B8" s="38" t="s">
        <v>106</v>
      </c>
      <c r="C8" s="36" t="s">
        <v>159</v>
      </c>
      <c r="D8" s="36" t="s">
        <v>160</v>
      </c>
      <c r="E8" s="36" t="s">
        <v>147</v>
      </c>
      <c r="F8" s="36" t="s">
        <v>148</v>
      </c>
    </row>
    <row r="9">
      <c r="A9" s="36">
        <v>8.0</v>
      </c>
      <c r="B9" s="38" t="s">
        <v>106</v>
      </c>
      <c r="C9" s="36" t="s">
        <v>161</v>
      </c>
      <c r="D9" s="36" t="s">
        <v>162</v>
      </c>
      <c r="E9" s="36" t="s">
        <v>163</v>
      </c>
      <c r="F9" s="36" t="s">
        <v>148</v>
      </c>
    </row>
    <row r="10">
      <c r="A10" s="36">
        <v>9.0</v>
      </c>
      <c r="B10" s="38" t="s">
        <v>106</v>
      </c>
      <c r="C10" s="36" t="s">
        <v>164</v>
      </c>
      <c r="D10" s="36" t="s">
        <v>165</v>
      </c>
      <c r="E10" s="36" t="s">
        <v>147</v>
      </c>
      <c r="F10" s="36" t="s">
        <v>148</v>
      </c>
    </row>
    <row r="11">
      <c r="A11" s="36">
        <v>10.0</v>
      </c>
      <c r="B11" s="38" t="s">
        <v>106</v>
      </c>
      <c r="C11" s="36" t="s">
        <v>166</v>
      </c>
      <c r="D11" s="36" t="s">
        <v>167</v>
      </c>
      <c r="E11" s="36" t="s">
        <v>147</v>
      </c>
      <c r="F11" s="36" t="s">
        <v>148</v>
      </c>
    </row>
    <row r="12">
      <c r="A12" s="36">
        <v>11.0</v>
      </c>
      <c r="B12" s="38" t="s">
        <v>106</v>
      </c>
      <c r="C12" s="36" t="s">
        <v>168</v>
      </c>
      <c r="D12" s="36" t="s">
        <v>169</v>
      </c>
      <c r="E12" s="36" t="s">
        <v>147</v>
      </c>
      <c r="F12" s="36" t="s">
        <v>148</v>
      </c>
    </row>
    <row r="13">
      <c r="A13" s="36">
        <v>12.0</v>
      </c>
      <c r="B13" s="38" t="s">
        <v>106</v>
      </c>
      <c r="C13" s="36" t="s">
        <v>170</v>
      </c>
      <c r="D13" s="36" t="s">
        <v>171</v>
      </c>
      <c r="E13" s="36" t="s">
        <v>147</v>
      </c>
      <c r="F13" s="36" t="s">
        <v>148</v>
      </c>
    </row>
    <row r="14">
      <c r="A14" s="36">
        <v>13.0</v>
      </c>
      <c r="B14" s="38" t="s">
        <v>106</v>
      </c>
      <c r="C14" s="36" t="s">
        <v>172</v>
      </c>
      <c r="D14" s="36" t="s">
        <v>173</v>
      </c>
      <c r="E14" s="36" t="s">
        <v>147</v>
      </c>
      <c r="F14" s="36" t="s">
        <v>148</v>
      </c>
    </row>
    <row r="15">
      <c r="A15" s="36">
        <v>14.0</v>
      </c>
      <c r="B15" s="38" t="s">
        <v>106</v>
      </c>
      <c r="C15" s="36" t="s">
        <v>174</v>
      </c>
      <c r="D15" s="36" t="s">
        <v>175</v>
      </c>
      <c r="E15" s="36" t="s">
        <v>176</v>
      </c>
      <c r="F15" s="36" t="s">
        <v>148</v>
      </c>
    </row>
    <row r="16">
      <c r="A16" s="36">
        <v>15.0</v>
      </c>
      <c r="B16" s="38" t="s">
        <v>106</v>
      </c>
      <c r="C16" s="36" t="s">
        <v>177</v>
      </c>
      <c r="D16" s="36" t="s">
        <v>178</v>
      </c>
      <c r="E16" s="36" t="s">
        <v>147</v>
      </c>
      <c r="F16" s="36" t="s">
        <v>148</v>
      </c>
    </row>
    <row r="17">
      <c r="A17" s="36">
        <v>16.0</v>
      </c>
      <c r="B17" s="38" t="s">
        <v>106</v>
      </c>
      <c r="C17" s="36" t="s">
        <v>179</v>
      </c>
      <c r="D17" s="36" t="s">
        <v>180</v>
      </c>
      <c r="E17" s="36" t="s">
        <v>147</v>
      </c>
      <c r="F17" s="36" t="s">
        <v>148</v>
      </c>
    </row>
    <row r="18">
      <c r="A18" s="36">
        <v>17.0</v>
      </c>
      <c r="B18" s="38" t="s">
        <v>106</v>
      </c>
      <c r="C18" s="36" t="s">
        <v>181</v>
      </c>
      <c r="D18" s="36" t="s">
        <v>182</v>
      </c>
      <c r="E18" s="36" t="s">
        <v>147</v>
      </c>
      <c r="F18" s="36" t="s">
        <v>148</v>
      </c>
    </row>
    <row r="19">
      <c r="A19" s="36">
        <v>18.0</v>
      </c>
      <c r="B19" s="39" t="s">
        <v>109</v>
      </c>
      <c r="C19" s="36" t="s">
        <v>183</v>
      </c>
      <c r="D19" s="36" t="s">
        <v>184</v>
      </c>
      <c r="E19" s="36" t="s">
        <v>185</v>
      </c>
      <c r="F19" s="36" t="s">
        <v>186</v>
      </c>
    </row>
    <row r="20">
      <c r="A20" s="36">
        <v>19.0</v>
      </c>
      <c r="B20" s="39" t="s">
        <v>109</v>
      </c>
      <c r="C20" s="36" t="s">
        <v>187</v>
      </c>
      <c r="D20" s="36" t="s">
        <v>188</v>
      </c>
      <c r="E20" s="36" t="s">
        <v>185</v>
      </c>
      <c r="F20" s="36" t="s">
        <v>186</v>
      </c>
    </row>
    <row r="21" ht="15.75" customHeight="1">
      <c r="A21" s="36">
        <v>20.0</v>
      </c>
      <c r="B21" s="40" t="s">
        <v>109</v>
      </c>
      <c r="C21" s="36" t="s">
        <v>189</v>
      </c>
      <c r="D21" s="36" t="s">
        <v>190</v>
      </c>
      <c r="E21" s="36" t="s">
        <v>191</v>
      </c>
      <c r="F21" s="36" t="s">
        <v>192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